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udit Report" sheetId="2" state="visible" r:id="rId2"/>
  </sheets>
  <definedNames>
    <definedName name="_xlnm._FilterDatabase" localSheetId="1" hidden="1">'Audit Report'!$A$1:$X$146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Consolas"/>
      <sz val="9"/>
    </font>
    <font>
      <b val="1"/>
      <sz val="14"/>
    </font>
    <font>
      <b val="1"/>
      <color rgb="00FFFFFF"/>
    </font>
  </fonts>
  <fills count="8">
    <fill>
      <patternFill/>
    </fill>
    <fill>
      <patternFill patternType="gray125"/>
    </fill>
    <fill>
      <patternFill patternType="solid">
        <fgColor rgb="00D9E1F2"/>
      </patternFill>
    </fill>
    <fill>
      <patternFill patternType="solid">
        <fgColor rgb="00F8696B"/>
        <bgColor rgb="00F8696B"/>
      </patternFill>
    </fill>
    <fill>
      <patternFill patternType="solid">
        <fgColor rgb="00F4B183"/>
        <bgColor rgb="00F4B183"/>
      </patternFill>
    </fill>
    <fill>
      <patternFill patternType="solid">
        <fgColor rgb="00FFE699"/>
        <bgColor rgb="00FFE699"/>
      </patternFill>
    </fill>
    <fill>
      <patternFill patternType="solid">
        <fgColor rgb="00C6E0B4"/>
        <bgColor rgb="00C6E0B4"/>
      </patternFill>
    </fill>
    <fill>
      <patternFill patternType="solid">
        <fgColor rgb="00C00000"/>
        <bgColor rgb="00C00000"/>
      </patternFill>
    </fill>
  </fills>
  <borders count="1">
    <border>
      <left/>
      <right/>
      <top/>
      <bottom/>
      <diagonal/>
    </border>
  </borders>
  <cellStyleXfs count="1">
    <xf numFmtId="0" fontId="0" fillId="0" borderId="0"/>
  </cellStyleXfs>
  <cellXfs count="13">
    <xf numFmtId="0" fontId="0" fillId="0" borderId="0" pivotButton="0" quotePrefix="0" xfId="0"/>
    <xf numFmtId="0" fontId="3" fillId="0" borderId="0" pivotButton="0" quotePrefix="0" xfId="0"/>
    <xf numFmtId="0" fontId="1"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4" fillId="7"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dxfs count="5">
    <dxf>
      <fill>
        <patternFill patternType="solid">
          <fgColor rgb="00F8696B"/>
          <bgColor rgb="00F8696B"/>
        </patternFill>
      </fill>
    </dxf>
    <dxf>
      <fill>
        <patternFill patternType="solid">
          <fgColor rgb="00F4B183"/>
          <bgColor rgb="00F4B183"/>
        </patternFill>
      </fill>
    </dxf>
    <dxf>
      <fill>
        <patternFill patternType="solid">
          <fgColor rgb="00FFE699"/>
          <bgColor rgb="00FFE699"/>
        </patternFill>
      </fill>
    </dxf>
    <dxf>
      <fill>
        <patternFill patternType="solid">
          <fgColor rgb="00C6E0B4"/>
          <bgColor rgb="00C6E0B4"/>
        </patternFill>
      </fill>
    </dxf>
    <dxf>
      <font>
        <b val="1"/>
        <color rgb="00FFFFFF"/>
      </font>
      <fill>
        <patternFill patternType="solid">
          <fgColor rgb="00C00000"/>
          <bgColor rgb="00C0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2"/>
  <sheetViews>
    <sheetView workbookViewId="0">
      <selection activeCell="A1" sqref="A1"/>
    </sheetView>
  </sheetViews>
  <sheetFormatPr baseColWidth="8" defaultRowHeight="15"/>
  <cols>
    <col width="44" customWidth="1" min="1" max="1"/>
    <col width="34" customWidth="1" min="2" max="2"/>
    <col width="60" customWidth="1" min="3" max="3"/>
    <col width="12" customWidth="1" min="4" max="4"/>
    <col width="12" customWidth="1" min="5" max="5"/>
    <col width="12" customWidth="1" min="6" max="6"/>
  </cols>
  <sheetData>
    <row r="1">
      <c r="A1" s="1" t="inlineStr">
        <is>
          <t>BrightSide Carwash - Combined Codebase Audit</t>
        </is>
      </c>
    </row>
    <row r="2">
      <c r="A2" t="inlineStr">
        <is>
          <t>Audit date</t>
        </is>
      </c>
      <c r="B2" t="inlineStr">
        <is>
          <t>2026-09-30</t>
        </is>
      </c>
    </row>
    <row r="3">
      <c r="A3" t="inlineStr">
        <is>
          <t>Repositories</t>
        </is>
      </c>
      <c r="B3" t="inlineStr">
        <is>
          <t>BrightSideCarwash-AdminDashboard-frontend, BrightSideCarwash-backend, BrightSideCarwash-website-frontend</t>
        </is>
      </c>
    </row>
    <row r="4">
      <c r="A4" t="inlineStr">
        <is>
          <t>Scope</t>
        </is>
      </c>
      <c r="B4" t="inlineStr">
        <is>
          <t>Entire repositories; static code review only (no runtime testing)</t>
        </is>
      </c>
    </row>
    <row r="5">
      <c r="A5" t="inlineStr">
        <is>
          <t>Total findings</t>
        </is>
      </c>
      <c r="B5" s="2">
        <f>COUNTA('Audit Report'!$B$2:$B$146)</f>
        <v/>
      </c>
    </row>
    <row r="6">
      <c r="A6" t="inlineStr">
        <is>
          <t>Quick Wins</t>
        </is>
      </c>
      <c r="B6" s="2">
        <f>COUNTIF('Audit Report'!$M$2:$M$146,"Yes")</f>
        <v/>
      </c>
    </row>
    <row r="8">
      <c r="A8" s="2" t="inlineStr">
        <is>
          <t>By Repository</t>
        </is>
      </c>
    </row>
    <row r="9">
      <c r="A9" s="3" t="inlineStr">
        <is>
          <t>Repository</t>
        </is>
      </c>
      <c r="B9" s="3" t="inlineStr">
        <is>
          <t>Count</t>
        </is>
      </c>
    </row>
    <row r="10">
      <c r="A10" t="inlineStr">
        <is>
          <t>BrightSideCarwash-AdminDashboard-frontend</t>
        </is>
      </c>
      <c r="B10">
        <f>COUNTIF('Audit Report'!$A$2:$A$146,A10)</f>
        <v/>
      </c>
    </row>
    <row r="11">
      <c r="A11" t="inlineStr">
        <is>
          <t>BrightSideCarwash-backend</t>
        </is>
      </c>
      <c r="B11">
        <f>COUNTIF('Audit Report'!$A$2:$A$146,A11)</f>
        <v/>
      </c>
    </row>
    <row r="12">
      <c r="A12" t="inlineStr">
        <is>
          <t>BrightSideCarwash-website-frontend</t>
        </is>
      </c>
      <c r="B12">
        <f>COUNTIF('Audit Report'!$A$2:$A$146,A12)</f>
        <v/>
      </c>
    </row>
    <row r="14">
      <c r="A14" s="2" t="inlineStr">
        <is>
          <t>By Severity</t>
        </is>
      </c>
    </row>
    <row r="15">
      <c r="A15" s="3" t="inlineStr">
        <is>
          <t>Severity</t>
        </is>
      </c>
      <c r="B15" s="3" t="inlineStr">
        <is>
          <t>Count</t>
        </is>
      </c>
    </row>
    <row r="16">
      <c r="A16" s="4" t="inlineStr">
        <is>
          <t>Critical</t>
        </is>
      </c>
      <c r="B16">
        <f>COUNTIF('Audit Report'!$I$2:$I$146,A16)</f>
        <v/>
      </c>
    </row>
    <row r="17">
      <c r="A17" s="5" t="inlineStr">
        <is>
          <t>High</t>
        </is>
      </c>
      <c r="B17">
        <f>COUNTIF('Audit Report'!$I$2:$I$146,A17)</f>
        <v/>
      </c>
    </row>
    <row r="18">
      <c r="A18" s="6" t="inlineStr">
        <is>
          <t>Medium</t>
        </is>
      </c>
      <c r="B18">
        <f>COUNTIF('Audit Report'!$I$2:$I$146,A18)</f>
        <v/>
      </c>
    </row>
    <row r="19">
      <c r="A19" s="7" t="inlineStr">
        <is>
          <t>Low</t>
        </is>
      </c>
      <c r="B19">
        <f>COUNTIF('Audit Report'!$I$2:$I$146,A19)</f>
        <v/>
      </c>
    </row>
    <row r="21">
      <c r="A21" s="2" t="inlineStr">
        <is>
          <t>By Priority</t>
        </is>
      </c>
    </row>
    <row r="22">
      <c r="A22" s="3" t="inlineStr">
        <is>
          <t>Priority</t>
        </is>
      </c>
      <c r="B22" s="3" t="inlineStr">
        <is>
          <t>Count</t>
        </is>
      </c>
    </row>
    <row r="23">
      <c r="A23" s="4" t="inlineStr">
        <is>
          <t>Critical</t>
        </is>
      </c>
      <c r="B23">
        <f>COUNTIF('Audit Report'!$J$2:$J$146,A23)</f>
        <v/>
      </c>
    </row>
    <row r="24">
      <c r="A24" s="5" t="inlineStr">
        <is>
          <t>High</t>
        </is>
      </c>
      <c r="B24">
        <f>COUNTIF('Audit Report'!$J$2:$J$146,A24)</f>
        <v/>
      </c>
    </row>
    <row r="25">
      <c r="A25" s="6" t="inlineStr">
        <is>
          <t>Medium</t>
        </is>
      </c>
      <c r="B25">
        <f>COUNTIF('Audit Report'!$J$2:$J$146,A25)</f>
        <v/>
      </c>
    </row>
    <row r="26">
      <c r="A26" s="7" t="inlineStr">
        <is>
          <t>Low</t>
        </is>
      </c>
      <c r="B26">
        <f>COUNTIF('Audit Report'!$J$2:$J$146,A26)</f>
        <v/>
      </c>
    </row>
    <row r="28">
      <c r="A28" s="2" t="inlineStr">
        <is>
          <t>By T-Shirt Size</t>
        </is>
      </c>
    </row>
    <row r="29">
      <c r="A29" s="3" t="inlineStr">
        <is>
          <t>T-Shirt Size</t>
        </is>
      </c>
      <c r="B29" s="3" t="inlineStr">
        <is>
          <t>Count</t>
        </is>
      </c>
    </row>
    <row r="30">
      <c r="A30" s="7" t="inlineStr">
        <is>
          <t>S</t>
        </is>
      </c>
      <c r="B30">
        <f>COUNTIF('Audit Report'!$L$2:$L$146,A30)</f>
        <v/>
      </c>
    </row>
    <row r="31">
      <c r="A31" s="6" t="inlineStr">
        <is>
          <t>M</t>
        </is>
      </c>
      <c r="B31">
        <f>COUNTIF('Audit Report'!$L$2:$L$146,A31)</f>
        <v/>
      </c>
    </row>
    <row r="32">
      <c r="A32" s="5" t="inlineStr">
        <is>
          <t>L</t>
        </is>
      </c>
      <c r="B32">
        <f>COUNTIF('Audit Report'!$L$2:$L$146,A32)</f>
        <v/>
      </c>
    </row>
    <row r="33">
      <c r="A33" s="4" t="inlineStr">
        <is>
          <t>XL</t>
        </is>
      </c>
      <c r="B33">
        <f>COUNTIF('Audit Report'!$L$2:$L$146,A33)</f>
        <v/>
      </c>
    </row>
    <row r="34">
      <c r="A34" s="8" t="inlineStr">
        <is>
          <t>XXL</t>
        </is>
      </c>
      <c r="B34">
        <f>COUNTIF('Audit Report'!$L$2:$L$146,A34)</f>
        <v/>
      </c>
    </row>
    <row r="36">
      <c r="A36" s="2" t="inlineStr">
        <is>
          <t>By Finding Type</t>
        </is>
      </c>
    </row>
    <row r="37">
      <c r="A37" s="3" t="inlineStr">
        <is>
          <t>Finding Type</t>
        </is>
      </c>
      <c r="B37" s="3" t="inlineStr">
        <is>
          <t>Count</t>
        </is>
      </c>
    </row>
    <row r="38">
      <c r="A38" t="inlineStr">
        <is>
          <t>Vulnerability</t>
        </is>
      </c>
      <c r="B38">
        <f>COUNTIF('Audit Report'!$E$2:$E$146,A38)</f>
        <v/>
      </c>
    </row>
    <row r="39">
      <c r="A39" t="inlineStr">
        <is>
          <t>Defect</t>
        </is>
      </c>
      <c r="B39">
        <f>COUNTIF('Audit Report'!$E$2:$E$146,A39)</f>
        <v/>
      </c>
    </row>
    <row r="40">
      <c r="A40" t="inlineStr">
        <is>
          <t>Risk</t>
        </is>
      </c>
      <c r="B40">
        <f>COUNTIF('Audit Report'!$E$2:$E$146,A40)</f>
        <v/>
      </c>
    </row>
    <row r="41">
      <c r="A41" t="inlineStr">
        <is>
          <t>Tech Debt</t>
        </is>
      </c>
      <c r="B41">
        <f>COUNTIF('Audit Report'!$E$2:$E$146,A41)</f>
        <v/>
      </c>
    </row>
    <row r="42">
      <c r="A42" t="inlineStr">
        <is>
          <t>Improvement</t>
        </is>
      </c>
      <c r="B42">
        <f>COUNTIF('Audit Report'!$E$2:$E$146,A42)</f>
        <v/>
      </c>
    </row>
    <row r="44">
      <c r="A44" s="2" t="inlineStr">
        <is>
          <t>By Confidence</t>
        </is>
      </c>
    </row>
    <row r="45">
      <c r="A45" s="3" t="inlineStr">
        <is>
          <t>Confidence</t>
        </is>
      </c>
      <c r="B45" s="3" t="inlineStr">
        <is>
          <t>Count</t>
        </is>
      </c>
    </row>
    <row r="46">
      <c r="A46" t="inlineStr">
        <is>
          <t>High</t>
        </is>
      </c>
      <c r="B46">
        <f>COUNTIF('Audit Report'!$K$2:$K$146,A46)</f>
        <v/>
      </c>
    </row>
    <row r="47">
      <c r="A47" t="inlineStr">
        <is>
          <t>Medium</t>
        </is>
      </c>
      <c r="B47">
        <f>COUNTIF('Audit Report'!$K$2:$K$146,A47)</f>
        <v/>
      </c>
    </row>
    <row r="48">
      <c r="A48" t="inlineStr">
        <is>
          <t>Low</t>
        </is>
      </c>
      <c r="B48">
        <f>COUNTIF('Audit Report'!$K$2:$K$146,A48)</f>
        <v/>
      </c>
    </row>
    <row r="50">
      <c r="A50" s="2" t="inlineStr">
        <is>
          <t>By Category</t>
        </is>
      </c>
    </row>
    <row r="51">
      <c r="A51" s="3" t="inlineStr">
        <is>
          <t>Category</t>
        </is>
      </c>
      <c r="B51" s="3" t="inlineStr">
        <is>
          <t>Count</t>
        </is>
      </c>
    </row>
    <row r="52">
      <c r="A52" t="inlineStr">
        <is>
          <t>Security</t>
        </is>
      </c>
      <c r="B52">
        <f>COUNTIF('Audit Report'!$C$2:$C$146,A52)</f>
        <v/>
      </c>
    </row>
    <row r="53">
      <c r="A53" t="inlineStr">
        <is>
          <t>Bug / Correctness</t>
        </is>
      </c>
      <c r="B53">
        <f>COUNTIF('Audit Report'!$C$2:$C$146,A53)</f>
        <v/>
      </c>
    </row>
    <row r="54">
      <c r="A54" t="inlineStr">
        <is>
          <t>Authentication &amp; Authorization</t>
        </is>
      </c>
      <c r="B54">
        <f>COUNTIF('Audit Report'!$C$2:$C$146,A54)</f>
        <v/>
      </c>
    </row>
    <row r="55">
      <c r="A55" t="inlineStr">
        <is>
          <t>Dependency Management</t>
        </is>
      </c>
      <c r="B55">
        <f>COUNTIF('Audit Report'!$C$2:$C$146,A55)</f>
        <v/>
      </c>
    </row>
    <row r="56">
      <c r="A56" t="inlineStr">
        <is>
          <t>DevOps / CI/CD / Deployment</t>
        </is>
      </c>
      <c r="B56">
        <f>COUNTIF('Audit Report'!$C$2:$C$146,A56)</f>
        <v/>
      </c>
    </row>
    <row r="57">
      <c r="A57" t="inlineStr">
        <is>
          <t>Error Handling &amp; Resilience</t>
        </is>
      </c>
      <c r="B57">
        <f>COUNTIF('Audit Report'!$C$2:$C$146,A57)</f>
        <v/>
      </c>
    </row>
    <row r="58">
      <c r="A58" t="inlineStr">
        <is>
          <t>Configuration &amp; Environment</t>
        </is>
      </c>
      <c r="B58">
        <f>COUNTIF('Audit Report'!$C$2:$C$146,A58)</f>
        <v/>
      </c>
    </row>
    <row r="59">
      <c r="A59" t="inlineStr">
        <is>
          <t>Input Validation</t>
        </is>
      </c>
      <c r="B59">
        <f>COUNTIF('Audit Report'!$C$2:$C$146,A59)</f>
        <v/>
      </c>
    </row>
    <row r="60">
      <c r="A60" t="inlineStr">
        <is>
          <t>Performance &amp; Scalability</t>
        </is>
      </c>
      <c r="B60">
        <f>COUNTIF('Audit Report'!$C$2:$C$146,A60)</f>
        <v/>
      </c>
    </row>
    <row r="61">
      <c r="A61" t="inlineStr">
        <is>
          <t>Maintainability &amp; Tech Debt</t>
        </is>
      </c>
      <c r="B61">
        <f>COUNTIF('Audit Report'!$C$2:$C$146,A61)</f>
        <v/>
      </c>
    </row>
    <row r="62">
      <c r="A62" t="inlineStr">
        <is>
          <t>API Design</t>
        </is>
      </c>
      <c r="B62">
        <f>COUNTIF('Audit Report'!$C$2:$C$146,A62)</f>
        <v/>
      </c>
    </row>
    <row r="63">
      <c r="A63" t="inlineStr">
        <is>
          <t>Logging &amp; Monitoring</t>
        </is>
      </c>
      <c r="B63">
        <f>COUNTIF('Audit Report'!$C$2:$C$146,A63)</f>
        <v/>
      </c>
    </row>
    <row r="64">
      <c r="A64" t="inlineStr">
        <is>
          <t>Privacy &amp; Compliance</t>
        </is>
      </c>
      <c r="B64">
        <f>COUNTIF('Audit Report'!$C$2:$C$146,A64)</f>
        <v/>
      </c>
    </row>
    <row r="65">
      <c r="A65" t="inlineStr">
        <is>
          <t>Database &amp; Data Integrity</t>
        </is>
      </c>
      <c r="B65">
        <f>COUNTIF('Audit Report'!$C$2:$C$146,A65)</f>
        <v/>
      </c>
    </row>
    <row r="66">
      <c r="A66" t="inlineStr">
        <is>
          <t>Testing</t>
        </is>
      </c>
      <c r="B66">
        <f>COUNTIF('Audit Report'!$C$2:$C$146,A66)</f>
        <v/>
      </c>
    </row>
    <row r="67">
      <c r="A67" t="inlineStr">
        <is>
          <t>Architecture &amp; Design</t>
        </is>
      </c>
      <c r="B67">
        <f>COUNTIF('Audit Report'!$C$2:$C$146,A67)</f>
        <v/>
      </c>
    </row>
    <row r="68">
      <c r="A68" t="inlineStr">
        <is>
          <t>Frontend / UX / Accessibility</t>
        </is>
      </c>
      <c r="B68">
        <f>COUNTIF('Audit Report'!$C$2:$C$146,A68)</f>
        <v/>
      </c>
    </row>
    <row r="69">
      <c r="A69" t="inlineStr">
        <is>
          <t>Code Quality</t>
        </is>
      </c>
      <c r="B69">
        <f>COUNTIF('Audit Report'!$C$2:$C$146,A69)</f>
        <v/>
      </c>
    </row>
    <row r="71">
      <c r="A71" s="2" t="inlineStr">
        <is>
          <t>By Affected Module</t>
        </is>
      </c>
    </row>
    <row r="72">
      <c r="A72" s="3" t="inlineStr">
        <is>
          <t>Affected Module</t>
        </is>
      </c>
      <c r="B72" s="3" t="inlineStr">
        <is>
          <t>Count</t>
        </is>
      </c>
    </row>
    <row r="73">
      <c r="A73" t="inlineStr">
        <is>
          <t>Booking &amp; Checkout</t>
        </is>
      </c>
      <c r="B73">
        <f>COUNTIF('Audit Report'!$N$2:$N$146,A73)</f>
        <v/>
      </c>
    </row>
    <row r="74">
      <c r="A74" t="inlineStr">
        <is>
          <t>nest-app: Auth &amp; RBAC</t>
        </is>
      </c>
      <c r="B74">
        <f>COUNTIF('Audit Report'!$N$2:$N$146,A74)</f>
        <v/>
      </c>
    </row>
    <row r="75">
      <c r="A75" t="inlineStr">
        <is>
          <t>nest-app: Platform (config, storage, mail, notifications, logging, Prisma)</t>
        </is>
      </c>
      <c r="B75">
        <f>COUNTIF('Audit Report'!$N$2:$N$146,A75)</f>
        <v/>
      </c>
    </row>
    <row r="76">
      <c r="A76" t="inlineStr">
        <is>
          <t>nest-app: Booking &amp; Payments (Square)</t>
        </is>
      </c>
      <c r="B76">
        <f>COUNTIF('Audit Report'!$N$2:$N$146,A76)</f>
        <v/>
      </c>
    </row>
    <row r="77">
      <c r="A77" t="inlineStr">
        <is>
          <t>nest-app: Admin CRM (leads, campaigns, email, team, roles, reports)</t>
        </is>
      </c>
      <c r="B77">
        <f>COUNTIF('Audit Report'!$N$2:$N$146,A77)</f>
        <v/>
      </c>
    </row>
    <row r="78">
      <c r="A78" t="inlineStr">
        <is>
          <t>Build, Config &amp; Deployment</t>
        </is>
      </c>
      <c r="B78">
        <f>COUNTIF('Audit Report'!$N$2:$N$146,A78)</f>
        <v/>
      </c>
    </row>
    <row r="79">
      <c r="A79" t="inlineStr">
        <is>
          <t>Auth &amp; Session</t>
        </is>
      </c>
      <c r="B79">
        <f>COUNTIF('Audit Report'!$N$2:$N$146,A79)</f>
        <v/>
      </c>
    </row>
    <row r="80">
      <c r="A80" t="inlineStr">
        <is>
          <t>django-app: Chatbot &amp; Sessions</t>
        </is>
      </c>
      <c r="B80">
        <f>COUNTIF('Audit Report'!$N$2:$N$146,A80)</f>
        <v/>
      </c>
    </row>
    <row r="81">
      <c r="A81" t="inlineStr">
        <is>
          <t>CI/CD &amp; Containers</t>
        </is>
      </c>
      <c r="B81">
        <f>COUNTIF('Audit Report'!$N$2:$N$146,A81)</f>
        <v/>
      </c>
    </row>
    <row r="82">
      <c r="A82" t="inlineStr">
        <is>
          <t>Build &amp; Deploy Config</t>
        </is>
      </c>
      <c r="B82">
        <f>COUNTIF('Audit Report'!$N$2:$N$146,A82)</f>
        <v/>
      </c>
    </row>
    <row r="83">
      <c r="A83" t="inlineStr">
        <is>
          <t>django-app: Config &amp; Service Sync</t>
        </is>
      </c>
      <c r="B83">
        <f>COUNTIF('Audit Report'!$N$2:$N$146,A83)</f>
        <v/>
      </c>
    </row>
    <row r="84">
      <c r="A84" t="inlineStr">
        <is>
          <t>Dependencies &amp; Tests</t>
        </is>
      </c>
      <c r="B84">
        <f>COUNTIF('Audit Report'!$N$2:$N$146,A84)</f>
        <v/>
      </c>
    </row>
    <row r="85">
      <c r="A85" t="inlineStr">
        <is>
          <t>Data access layer</t>
        </is>
      </c>
      <c r="B85">
        <f>COUNTIF('Audit Report'!$N$2:$N$146,A85)</f>
        <v/>
      </c>
    </row>
    <row r="86">
      <c r="A86" t="inlineStr">
        <is>
          <t>Layout, UI &amp; Theme</t>
        </is>
      </c>
      <c r="B86">
        <f>COUNTIF('Audit Report'!$N$2:$N$146,A86)</f>
        <v/>
      </c>
    </row>
    <row r="87">
      <c r="A87" t="inlineStr">
        <is>
          <t>Cross-cutting</t>
        </is>
      </c>
      <c r="B87">
        <f>COUNTIF('Audit Report'!$N$2:$N$146,A87)</f>
        <v/>
      </c>
    </row>
    <row r="88">
      <c r="A88" t="inlineStr">
        <is>
          <t>AI Chatbox</t>
        </is>
      </c>
      <c r="B88">
        <f>COUNTIF('Audit Report'!$N$2:$N$146,A88)</f>
        <v/>
      </c>
    </row>
    <row r="89">
      <c r="A89" t="inlineStr">
        <is>
          <t>django-app: Knowledge Base</t>
        </is>
      </c>
      <c r="B89">
        <f>COUNTIF('Audit Report'!$N$2:$N$146,A89)</f>
        <v/>
      </c>
    </row>
    <row r="90">
      <c r="A90" t="inlineStr">
        <is>
          <t>nest-app: Public APIs &amp; app shell</t>
        </is>
      </c>
      <c r="B90">
        <f>COUNTIF('Audit Report'!$N$2:$N$146,A90)</f>
        <v/>
      </c>
    </row>
    <row r="91">
      <c r="A91" t="inlineStr">
        <is>
          <t>Reporting &amp; Exports</t>
        </is>
      </c>
      <c r="B91">
        <f>COUNTIF('Audit Report'!$N$2:$N$146,A91)</f>
        <v/>
      </c>
    </row>
    <row r="92">
      <c r="A92" t="inlineStr">
        <is>
          <t>API/Service Layer &amp; Hooks</t>
        </is>
      </c>
      <c r="B92">
        <f>COUNTIF('Audit Report'!$N$2:$N$146,A92)</f>
        <v/>
      </c>
    </row>
    <row r="93">
      <c r="A93" t="inlineStr">
        <is>
          <t>Dependencies &amp; Tooling</t>
        </is>
      </c>
      <c r="B93">
        <f>COUNTIF('Audit Report'!$N$2:$N$146,A93)</f>
        <v/>
      </c>
    </row>
    <row r="94">
      <c r="A94" t="inlineStr">
        <is>
          <t>Leads</t>
        </is>
      </c>
      <c r="B94">
        <f>COUNTIF('Audit Report'!$N$2:$N$146,A94)</f>
        <v/>
      </c>
    </row>
    <row r="95">
      <c r="A95" t="inlineStr">
        <is>
          <t>Shared UI &amp; App Shell</t>
        </is>
      </c>
      <c r="B95">
        <f>COUNTIF('Audit Report'!$N$2:$N$146,A95)</f>
        <v/>
      </c>
    </row>
    <row r="96">
      <c r="A96" t="inlineStr">
        <is>
          <t>AI Chatbot</t>
        </is>
      </c>
      <c r="B96">
        <f>COUNTIF('Audit Report'!$N$2:$N$146,A96)</f>
        <v/>
      </c>
    </row>
    <row r="97">
      <c r="A97" t="inlineStr">
        <is>
          <t>Content Pages &amp; Embeds</t>
        </is>
      </c>
      <c r="B97">
        <f>COUNTIF('Audit Report'!$N$2:$N$146,A97)</f>
        <v/>
      </c>
    </row>
    <row r="98">
      <c r="A98" t="inlineStr">
        <is>
          <t>RBAC UI</t>
        </is>
      </c>
      <c r="B98">
        <f>COUNTIF('Audit Report'!$N$2:$N$146,A98)</f>
        <v/>
      </c>
    </row>
    <row r="99">
      <c r="A99" t="inlineStr">
        <is>
          <t>Notifications &amp; Realtime</t>
        </is>
      </c>
      <c r="B99">
        <f>COUNTIF('Audit Report'!$N$2:$N$146,A99)</f>
        <v/>
      </c>
    </row>
    <row r="100">
      <c r="A100" t="inlineStr">
        <is>
          <t>Home &amp; Marketing Pages</t>
        </is>
      </c>
      <c r="B100">
        <f>COUNTIF('Audit Report'!$N$2:$N$146,A100)</f>
        <v/>
      </c>
    </row>
    <row r="101">
      <c r="A101" t="inlineStr">
        <is>
          <t>Documentation</t>
        </is>
      </c>
      <c r="B101">
        <f>COUNTIF('Audit Report'!$N$2:$N$146,A101)</f>
        <v/>
      </c>
    </row>
    <row r="102">
      <c r="A102" t="inlineStr">
        <is>
          <t>Website CMS</t>
        </is>
      </c>
      <c r="B102">
        <f>COUNTIF('Audit Report'!$N$2:$N$146,A102)</f>
        <v/>
      </c>
    </row>
    <row r="103">
      <c r="A103" t="inlineStr">
        <is>
          <t>Queries / Quotes</t>
        </is>
      </c>
      <c r="B103">
        <f>COUNTIF('Audit Report'!$N$2:$N$146,A103)</f>
        <v/>
      </c>
    </row>
    <row r="105">
      <c r="A105" s="2" t="inlineStr">
        <is>
          <t>Severity x Priority matrix (rows = Severity, columns = Priority)</t>
        </is>
      </c>
    </row>
    <row r="106">
      <c r="A106" s="3" t="inlineStr">
        <is>
          <t>Severity \ Priority</t>
        </is>
      </c>
      <c r="B106" s="3" t="inlineStr">
        <is>
          <t>Critical</t>
        </is>
      </c>
      <c r="C106" s="3" t="inlineStr">
        <is>
          <t>High</t>
        </is>
      </c>
      <c r="D106" s="3" t="inlineStr">
        <is>
          <t>Medium</t>
        </is>
      </c>
      <c r="E106" s="3" t="inlineStr">
        <is>
          <t>Low</t>
        </is>
      </c>
      <c r="F106" s="3" t="inlineStr">
        <is>
          <t>Total</t>
        </is>
      </c>
    </row>
    <row r="107">
      <c r="A107" s="4" t="inlineStr">
        <is>
          <t>Critical</t>
        </is>
      </c>
      <c r="B107">
        <f>COUNTIFS('Audit Report'!$I$2:$I$146,$A107,'Audit Report'!$J$2:$J$146,B$106)</f>
        <v/>
      </c>
      <c r="C107">
        <f>COUNTIFS('Audit Report'!$I$2:$I$146,$A107,'Audit Report'!$J$2:$J$146,C$106)</f>
        <v/>
      </c>
      <c r="D107">
        <f>COUNTIFS('Audit Report'!$I$2:$I$146,$A107,'Audit Report'!$J$2:$J$146,D$106)</f>
        <v/>
      </c>
      <c r="E107">
        <f>COUNTIFS('Audit Report'!$I$2:$I$146,$A107,'Audit Report'!$J$2:$J$146,E$106)</f>
        <v/>
      </c>
      <c r="F107">
        <f>SUM(B107:E107)</f>
        <v/>
      </c>
    </row>
    <row r="108">
      <c r="A108" s="5" t="inlineStr">
        <is>
          <t>High</t>
        </is>
      </c>
      <c r="B108">
        <f>COUNTIFS('Audit Report'!$I$2:$I$146,$A108,'Audit Report'!$J$2:$J$146,B$106)</f>
        <v/>
      </c>
      <c r="C108">
        <f>COUNTIFS('Audit Report'!$I$2:$I$146,$A108,'Audit Report'!$J$2:$J$146,C$106)</f>
        <v/>
      </c>
      <c r="D108">
        <f>COUNTIFS('Audit Report'!$I$2:$I$146,$A108,'Audit Report'!$J$2:$J$146,D$106)</f>
        <v/>
      </c>
      <c r="E108">
        <f>COUNTIFS('Audit Report'!$I$2:$I$146,$A108,'Audit Report'!$J$2:$J$146,E$106)</f>
        <v/>
      </c>
      <c r="F108">
        <f>SUM(B108:E108)</f>
        <v/>
      </c>
    </row>
    <row r="109">
      <c r="A109" s="6" t="inlineStr">
        <is>
          <t>Medium</t>
        </is>
      </c>
      <c r="B109">
        <f>COUNTIFS('Audit Report'!$I$2:$I$146,$A109,'Audit Report'!$J$2:$J$146,B$106)</f>
        <v/>
      </c>
      <c r="C109">
        <f>COUNTIFS('Audit Report'!$I$2:$I$146,$A109,'Audit Report'!$J$2:$J$146,C$106)</f>
        <v/>
      </c>
      <c r="D109">
        <f>COUNTIFS('Audit Report'!$I$2:$I$146,$A109,'Audit Report'!$J$2:$J$146,D$106)</f>
        <v/>
      </c>
      <c r="E109">
        <f>COUNTIFS('Audit Report'!$I$2:$I$146,$A109,'Audit Report'!$J$2:$J$146,E$106)</f>
        <v/>
      </c>
      <c r="F109">
        <f>SUM(B109:E109)</f>
        <v/>
      </c>
    </row>
    <row r="110">
      <c r="A110" s="7" t="inlineStr">
        <is>
          <t>Low</t>
        </is>
      </c>
      <c r="B110">
        <f>COUNTIFS('Audit Report'!$I$2:$I$146,$A110,'Audit Report'!$J$2:$J$146,B$106)</f>
        <v/>
      </c>
      <c r="C110">
        <f>COUNTIFS('Audit Report'!$I$2:$I$146,$A110,'Audit Report'!$J$2:$J$146,C$106)</f>
        <v/>
      </c>
      <c r="D110">
        <f>COUNTIFS('Audit Report'!$I$2:$I$146,$A110,'Audit Report'!$J$2:$J$146,D$106)</f>
        <v/>
      </c>
      <c r="E110">
        <f>COUNTIFS('Audit Report'!$I$2:$I$146,$A110,'Audit Report'!$J$2:$J$146,E$106)</f>
        <v/>
      </c>
      <c r="F110">
        <f>SUM(B110:E110)</f>
        <v/>
      </c>
    </row>
    <row r="112">
      <c r="A112" s="2" t="inlineStr">
        <is>
          <t>Repository x Severity</t>
        </is>
      </c>
    </row>
    <row r="113">
      <c r="A113" s="3" t="inlineStr">
        <is>
          <t>Repository</t>
        </is>
      </c>
      <c r="B113" s="3" t="inlineStr">
        <is>
          <t>Critical</t>
        </is>
      </c>
      <c r="C113" s="3" t="inlineStr">
        <is>
          <t>High</t>
        </is>
      </c>
      <c r="D113" s="3" t="inlineStr">
        <is>
          <t>Medium</t>
        </is>
      </c>
      <c r="E113" s="3" t="inlineStr">
        <is>
          <t>Low</t>
        </is>
      </c>
      <c r="F113" s="3" t="inlineStr">
        <is>
          <t>Total</t>
        </is>
      </c>
    </row>
    <row r="114">
      <c r="A114" t="inlineStr">
        <is>
          <t>BrightSideCarwash-AdminDashboard-frontend</t>
        </is>
      </c>
      <c r="B114">
        <f>COUNTIFS('Audit Report'!$A$2:$A$146,$A114,'Audit Report'!$I$2:$I$146,B$113)</f>
        <v/>
      </c>
      <c r="C114">
        <f>COUNTIFS('Audit Report'!$A$2:$A$146,$A114,'Audit Report'!$I$2:$I$146,C$113)</f>
        <v/>
      </c>
      <c r="D114">
        <f>COUNTIFS('Audit Report'!$A$2:$A$146,$A114,'Audit Report'!$I$2:$I$146,D$113)</f>
        <v/>
      </c>
      <c r="E114">
        <f>COUNTIFS('Audit Report'!$A$2:$A$146,$A114,'Audit Report'!$I$2:$I$146,E$113)</f>
        <v/>
      </c>
      <c r="F114">
        <f>SUM(B114:E114)</f>
        <v/>
      </c>
    </row>
    <row r="115">
      <c r="A115" t="inlineStr">
        <is>
          <t>BrightSideCarwash-backend</t>
        </is>
      </c>
      <c r="B115">
        <f>COUNTIFS('Audit Report'!$A$2:$A$146,$A115,'Audit Report'!$I$2:$I$146,B$113)</f>
        <v/>
      </c>
      <c r="C115">
        <f>COUNTIFS('Audit Report'!$A$2:$A$146,$A115,'Audit Report'!$I$2:$I$146,C$113)</f>
        <v/>
      </c>
      <c r="D115">
        <f>COUNTIFS('Audit Report'!$A$2:$A$146,$A115,'Audit Report'!$I$2:$I$146,D$113)</f>
        <v/>
      </c>
      <c r="E115">
        <f>COUNTIFS('Audit Report'!$A$2:$A$146,$A115,'Audit Report'!$I$2:$I$146,E$113)</f>
        <v/>
      </c>
      <c r="F115">
        <f>SUM(B115:E115)</f>
        <v/>
      </c>
    </row>
    <row r="116">
      <c r="A116" t="inlineStr">
        <is>
          <t>BrightSideCarwash-website-frontend</t>
        </is>
      </c>
      <c r="B116">
        <f>COUNTIFS('Audit Report'!$A$2:$A$146,$A116,'Audit Report'!$I$2:$I$146,B$113)</f>
        <v/>
      </c>
      <c r="C116">
        <f>COUNTIFS('Audit Report'!$A$2:$A$146,$A116,'Audit Report'!$I$2:$I$146,C$113)</f>
        <v/>
      </c>
      <c r="D116">
        <f>COUNTIFS('Audit Report'!$A$2:$A$146,$A116,'Audit Report'!$I$2:$I$146,D$113)</f>
        <v/>
      </c>
      <c r="E116">
        <f>COUNTIFS('Audit Report'!$A$2:$A$146,$A116,'Audit Report'!$I$2:$I$146,E$113)</f>
        <v/>
      </c>
      <c r="F116">
        <f>SUM(B116:E116)</f>
        <v/>
      </c>
    </row>
    <row r="118">
      <c r="A118" s="2" t="inlineStr">
        <is>
          <t>Top 10 issues (by Priority, then Severity)</t>
        </is>
      </c>
    </row>
    <row r="119">
      <c r="A119" s="3" t="inlineStr">
        <is>
          <t>Repository</t>
        </is>
      </c>
      <c r="B119" s="3" t="inlineStr">
        <is>
          <t>ID</t>
        </is>
      </c>
      <c r="C119" s="3" t="inlineStr">
        <is>
          <t>Issue</t>
        </is>
      </c>
      <c r="D119" s="3" t="inlineStr">
        <is>
          <t>Severity</t>
        </is>
      </c>
      <c r="E119" s="3" t="inlineStr">
        <is>
          <t>Priority</t>
        </is>
      </c>
    </row>
    <row r="120">
      <c r="A120" t="inlineStr">
        <is>
          <t>BrightSideCarwash-backend</t>
        </is>
      </c>
      <c r="B120" t="inlineStr">
        <is>
          <t>AUTH-001</t>
        </is>
      </c>
      <c r="C120" t="inlineStr">
        <is>
          <t>All Django "admin" APIs are unauthenticated (permission_classes = [])</t>
        </is>
      </c>
      <c r="D120" s="4" t="inlineStr">
        <is>
          <t>Critical</t>
        </is>
      </c>
      <c r="E120" s="4" t="inlineStr">
        <is>
          <t>Critical</t>
        </is>
      </c>
    </row>
    <row r="121">
      <c r="A121" t="inlineStr">
        <is>
          <t>BrightSideCarwash-backend</t>
        </is>
      </c>
      <c r="B121" t="inlineStr">
        <is>
          <t>AUTH-002</t>
        </is>
      </c>
      <c r="C121" t="inlineStr">
        <is>
          <t>Unauthenticated endpoint creates bookable services in the live Square catalog</t>
        </is>
      </c>
      <c r="D121" s="5" t="inlineStr">
        <is>
          <t>High</t>
        </is>
      </c>
      <c r="E121" s="4" t="inlineStr">
        <is>
          <t>Critical</t>
        </is>
      </c>
    </row>
    <row r="122">
      <c r="A122" t="inlineStr">
        <is>
          <t>BrightSideCarwash-backend</t>
        </is>
      </c>
      <c r="B122" t="inlineStr">
        <is>
          <t>AUTH-003</t>
        </is>
      </c>
      <c r="C122" t="inlineStr">
        <is>
          <t>JWT expiresIn receives an absolute epoch timestamp, so tokens live ~57 years</t>
        </is>
      </c>
      <c r="D122" s="5" t="inlineStr">
        <is>
          <t>High</t>
        </is>
      </c>
      <c r="E122" s="4" t="inlineStr">
        <is>
          <t>Critical</t>
        </is>
      </c>
    </row>
    <row r="123">
      <c r="A123" t="inlineStr">
        <is>
          <t>BrightSideCarwash-backend</t>
        </is>
      </c>
      <c r="B123" t="inlineStr">
        <is>
          <t>SEC-001</t>
        </is>
      </c>
      <c r="C123" t="inlineStr">
        <is>
          <t>Unauthenticated test endpoint writes arbitrary files into the public static directory</t>
        </is>
      </c>
      <c r="D123" s="5" t="inlineStr">
        <is>
          <t>High</t>
        </is>
      </c>
      <c r="E123" s="4" t="inlineStr">
        <is>
          <t>Critical</t>
        </is>
      </c>
    </row>
    <row r="124">
      <c r="A124" t="inlineStr">
        <is>
          <t>BrightSideCarwash-AdminDashboard-frontend</t>
        </is>
      </c>
      <c r="B124" t="inlineStr">
        <is>
          <t>AUTH-001</t>
        </is>
      </c>
      <c r="C124" t="inlineStr">
        <is>
          <t>Several admin routes have no permission requirement (AI Chatbox, Queries, Templates, Notifications)</t>
        </is>
      </c>
      <c r="D124" s="5" t="inlineStr">
        <is>
          <t>High</t>
        </is>
      </c>
      <c r="E124" s="5" t="inlineStr">
        <is>
          <t>High</t>
        </is>
      </c>
    </row>
    <row r="125">
      <c r="A125" t="inlineStr">
        <is>
          <t>BrightSideCarwash-AdminDashboard-frontend</t>
        </is>
      </c>
      <c r="B125" t="inlineStr">
        <is>
          <t>BUG-001</t>
        </is>
      </c>
      <c r="C125" t="inlineStr">
        <is>
          <t>Most API calls use raw fetch and bypass the 401 refresh interceptor</t>
        </is>
      </c>
      <c r="D125" s="5" t="inlineStr">
        <is>
          <t>High</t>
        </is>
      </c>
      <c r="E125" s="5" t="inlineStr">
        <is>
          <t>High</t>
        </is>
      </c>
    </row>
    <row r="126">
      <c r="A126" t="inlineStr">
        <is>
          <t>BrightSideCarwash-AdminDashboard-frontend</t>
        </is>
      </c>
      <c r="B126" t="inlineStr">
        <is>
          <t>SEC-001</t>
        </is>
      </c>
      <c r="C126" t="inlineStr">
        <is>
          <t>Access and refresh tokens stored in JavaScript-readable cookies</t>
        </is>
      </c>
      <c r="D126" s="5" t="inlineStr">
        <is>
          <t>High</t>
        </is>
      </c>
      <c r="E126" s="5" t="inlineStr">
        <is>
          <t>High</t>
        </is>
      </c>
    </row>
    <row r="127">
      <c r="A127" t="inlineStr">
        <is>
          <t>BrightSideCarwash-backend</t>
        </is>
      </c>
      <c r="B127" t="inlineStr">
        <is>
          <t>AUTH-005</t>
        </is>
      </c>
      <c r="C127" t="inlineStr">
        <is>
          <t>Admin quotes, FAQ and gallery controllers have no permission check</t>
        </is>
      </c>
      <c r="D127" s="5" t="inlineStr">
        <is>
          <t>High</t>
        </is>
      </c>
      <c r="E127" s="5" t="inlineStr">
        <is>
          <t>High</t>
        </is>
      </c>
    </row>
    <row r="128">
      <c r="A128" t="inlineStr">
        <is>
          <t>BrightSideCarwash-backend</t>
        </is>
      </c>
      <c r="B128" t="inlineStr">
        <is>
          <t>BUG-001</t>
        </is>
      </c>
      <c r="C128" t="inlineStr">
        <is>
          <t>Payments are stored in cents in a dollar Decimal column (amounts inflated 100x)</t>
        </is>
      </c>
      <c r="D128" s="5" t="inlineStr">
        <is>
          <t>High</t>
        </is>
      </c>
      <c r="E128" s="5" t="inlineStr">
        <is>
          <t>High</t>
        </is>
      </c>
    </row>
    <row r="129">
      <c r="A129" t="inlineStr">
        <is>
          <t>BrightSideCarwash-backend</t>
        </is>
      </c>
      <c r="B129" t="inlineStr">
        <is>
          <t>BUG-003</t>
        </is>
      </c>
      <c r="C129" t="inlineStr">
        <is>
          <t>Checkout can create duplicate bookings and charges (random idempotency keys, lock not consumed)</t>
        </is>
      </c>
      <c r="D129" s="5" t="inlineStr">
        <is>
          <t>High</t>
        </is>
      </c>
      <c r="E129" s="5" t="inlineStr">
        <is>
          <t>High</t>
        </is>
      </c>
    </row>
    <row r="131">
      <c r="A131" s="2" t="inlineStr">
        <is>
          <t>Executive summary</t>
        </is>
      </c>
    </row>
    <row r="132" ht="110" customHeight="1">
      <c r="A132" s="9" t="inlineStr">
        <is>
          <t>Three repositories were audited statically: the NestJS/Django backend, the Next.js admin dashboard and the Next.js public website. 145 findings were recorded (1 Critical, 20 High, 71 Medium, 53 Low). The backend carries most of the risk: authorization is fail-open (unauthenticated Django admin APIs, unguarded admin controllers, a public file-upload test endpoint), JWTs effectively never expire, and the payment path has money-correctness and double-charge risks. The frontends have no injection sinks or committed secrets but lack tests, CI, security headers and request timeouts, and both keep security decisions in the browser. Findings that depend on server behaviour or production infrastructure carry Medium or Low confidence.</t>
        </is>
      </c>
    </row>
  </sheetData>
  <mergeCells count="1">
    <mergeCell ref="A132:F1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4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11" customWidth="1" min="2" max="2"/>
    <col width="24" customWidth="1" min="3" max="3"/>
    <col width="24" customWidth="1" min="4" max="4"/>
    <col width="15" customWidth="1" min="5" max="5"/>
    <col width="55" customWidth="1" min="6" max="6"/>
    <col width="55" customWidth="1" min="7" max="7"/>
    <col width="55" customWidth="1" min="8" max="8"/>
    <col width="10" customWidth="1" min="9" max="9"/>
    <col width="10" customWidth="1" min="10" max="10"/>
    <col width="12" customWidth="1" min="11" max="11"/>
    <col width="14" customWidth="1" min="12" max="12"/>
    <col width="11" customWidth="1" min="13" max="13"/>
    <col width="24" customWidth="1" min="14" max="14"/>
    <col width="38" customWidth="1" min="15" max="15"/>
    <col width="24" customWidth="1" min="16" max="16"/>
    <col width="55" customWidth="1" min="17" max="17"/>
    <col width="13" customWidth="1" min="18" max="18"/>
    <col width="55" customWidth="1" min="19" max="19"/>
    <col width="55" customWidth="1" min="20" max="20"/>
    <col width="55" customWidth="1" min="21" max="21"/>
    <col width="55" customWidth="1" min="22" max="22"/>
    <col width="14" customWidth="1" min="23" max="23"/>
    <col width="12" customWidth="1" min="24" max="24"/>
  </cols>
  <sheetData>
    <row r="1">
      <c r="A1" s="10" t="inlineStr">
        <is>
          <t>Repository</t>
        </is>
      </c>
      <c r="B1" s="10" t="inlineStr">
        <is>
          <t>ID</t>
        </is>
      </c>
      <c r="C1" s="10" t="inlineStr">
        <is>
          <t>Category</t>
        </is>
      </c>
      <c r="D1" s="10" t="inlineStr">
        <is>
          <t>Subcategory</t>
        </is>
      </c>
      <c r="E1" s="10" t="inlineStr">
        <is>
          <t>Finding Type</t>
        </is>
      </c>
      <c r="F1" s="10" t="inlineStr">
        <is>
          <t>Issue</t>
        </is>
      </c>
      <c r="G1" s="10" t="inlineStr">
        <is>
          <t>Description</t>
        </is>
      </c>
      <c r="H1" s="10" t="inlineStr">
        <is>
          <t>Evidence</t>
        </is>
      </c>
      <c r="I1" s="10" t="inlineStr">
        <is>
          <t>Severity</t>
        </is>
      </c>
      <c r="J1" s="10" t="inlineStr">
        <is>
          <t>Priority</t>
        </is>
      </c>
      <c r="K1" s="10" t="inlineStr">
        <is>
          <t>Confidence</t>
        </is>
      </c>
      <c r="L1" s="10" t="inlineStr">
        <is>
          <t>T-Shirt Size</t>
        </is>
      </c>
      <c r="M1" s="10" t="inlineStr">
        <is>
          <t>Quick Win</t>
        </is>
      </c>
      <c r="N1" s="10" t="inlineStr">
        <is>
          <t>Affected Module</t>
        </is>
      </c>
      <c r="O1" s="10" t="inlineStr">
        <is>
          <t>File</t>
        </is>
      </c>
      <c r="P1" s="10" t="inlineStr">
        <is>
          <t>Line</t>
        </is>
      </c>
      <c r="Q1" s="10" t="inlineStr">
        <is>
          <t>Other Locations</t>
        </is>
      </c>
      <c r="R1" s="10" t="inlineStr">
        <is>
          <t>Occurrences</t>
        </is>
      </c>
      <c r="S1" s="10" t="inlineStr">
        <is>
          <t>Impact</t>
        </is>
      </c>
      <c r="T1" s="10" t="inlineStr">
        <is>
          <t>Recommendation</t>
        </is>
      </c>
      <c r="U1" s="10" t="inlineStr">
        <is>
          <t>Verification Steps</t>
        </is>
      </c>
      <c r="V1" s="10" t="inlineStr">
        <is>
          <t>Reference</t>
        </is>
      </c>
      <c r="W1" s="10" t="inlineStr">
        <is>
          <t>Dependencies</t>
        </is>
      </c>
      <c r="X1" s="10" t="inlineStr">
        <is>
          <t>Fix Status</t>
        </is>
      </c>
    </row>
    <row r="2">
      <c r="A2" s="11" t="inlineStr">
        <is>
          <t>BrightSideCarwash-backend</t>
        </is>
      </c>
      <c r="B2" s="11" t="inlineStr">
        <is>
          <t>AUTH-001</t>
        </is>
      </c>
      <c r="C2" s="11" t="inlineStr">
        <is>
          <t>Authentication &amp; Authorization</t>
        </is>
      </c>
      <c r="D2" s="11" t="inlineStr">
        <is>
          <t>Missing Authentication (broken access control)</t>
        </is>
      </c>
      <c r="E2" s="11" t="inlineStr">
        <is>
          <t>Vulnerability</t>
        </is>
      </c>
      <c r="F2" s="9" t="inlineStr">
        <is>
          <t>All Django "admin" APIs are unauthenticated (permission_classes = [])</t>
        </is>
      </c>
      <c r="G2" s="9" t="inlineStr">
        <is>
          <t>Every view documented as "Admin ... protected by JWT" overrides DRF permissions with an empty list, and REST_FRAMEWORK sets DEFAULT_AUTHENTICATION_CLASSES=() and DEFAULT_PERMISSION_CLASSES=AllowAny. IsAdminJWTUser is imported but never applied. The admin login/refresh routes (apps/adminpanel/urls.py) are not even mounted in config/urls.py, so no admin token can be obtained and the endpoints were evidently left open. The existing unit test test_kb_endpoints_do_not_require_admin_auth asserts this open behaviour. Anyone on the internet can list customers (names, emails), read full chat transcripts by session id, upload/delete knowledge-base files, trigger the website scrape + embedding job, and create/edit/delete campaigns.</t>
        </is>
      </c>
      <c r="H2" s="12" t="inlineStr">
        <is>
          <t>class KnowledgeUploadView(APIView):
    permission_classes = []</t>
        </is>
      </c>
      <c r="I2" s="11" t="inlineStr">
        <is>
          <t>Critical</t>
        </is>
      </c>
      <c r="J2" s="11" t="inlineStr">
        <is>
          <t>Critical</t>
        </is>
      </c>
      <c r="K2" s="11" t="inlineStr">
        <is>
          <t>High</t>
        </is>
      </c>
      <c r="L2" s="11" t="inlineStr">
        <is>
          <t>M</t>
        </is>
      </c>
      <c r="M2" s="11" t="inlineStr">
        <is>
          <t>Yes</t>
        </is>
      </c>
      <c r="N2" s="11" t="inlineStr">
        <is>
          <t>django-app: Knowledge Base</t>
        </is>
      </c>
      <c r="O2" s="11" t="inlineStr">
        <is>
          <t>apps/django-app/apps/knowledgebase/views.py</t>
        </is>
      </c>
      <c r="P2" s="11" t="inlineStr">
        <is>
          <t>29-30</t>
        </is>
      </c>
      <c r="Q2" s="9" t="inlineStr">
        <is>
          <t>apps/django-app/apps/knowledgebase/views.py:52
apps/django-app/apps/knowledgebase/views.py:67
apps/django-app/apps/knowledgebase/views.py:92
apps/django-app/apps/knowledgebase/views.py:105
apps/django-app/apps/users/views.py:20
apps/django-app/apps/users/views.py:78
apps/django-app/apps/users/views.py:98
apps/django-app/apps/sessions/views.py:46
apps/django-app/apps/campaigns/views.py:14
apps/django-app/config/settings.py:192
apps/django-app/config/urls.py:33
apps/django-app/apps/knowledgebase/tests.py:24</t>
        </is>
      </c>
      <c r="R2" s="11" t="n">
        <v>10</v>
      </c>
      <c r="S2" s="9" t="inlineStr">
        <is>
          <t>Confidentiality: unauthenticated disclosure of customer PII and chat transcripts (privacy/legal exposure). Integrity: attacker can poison the RAG knowledge base (which feeds LLM answers shown to customers, e.g. wrong prices or malicious links), delete data, or edit campaigns. Availability/cost: unauthenticated triggers of OpenAI embedding jobs and file parsing (pypdf/docx/xls) with no size limit. Business: reputational damage; likely breach-notification duty.</t>
        </is>
      </c>
      <c r="T2" s="9" t="inlineStr">
        <is>
          <t>1) Set REST_FRAMEWORK DEFAULT_AUTHENTICATION_CLASSES to JWTAuthentication and DEFAULT_PERMISSION_CLASSES to IsAdminJWTUser (deny by default); make the truly public views (session create, chat message) opt in explicitly with permission_classes=[AllowAny]. 2) Remove all `permission_classes = []` from admin views. 3) Mount apps.adminpanel.urls (login/refresh) in config/urls.py. 4) Rewrite the KB/users/sessions tests to assert 401/403 without a token. 5) Rotate/inspect data for tampering (KB files, campaigns) and review access logs.</t>
        </is>
      </c>
      <c r="U2" s="9" t="inlineStr">
        <is>
          <t>Without any Authorization header: `curl https://&lt;host&gt;/api/v1/admin/users/`, `curl https://&lt;host&gt;/api/v1/admin/kb/`, `curl -X DELETE https://&lt;host&gt;/api/v1/admin/kb/1/`, `curl https://&lt;host&gt;/api/v1/admin/sessions/&lt;uuid&gt;/`. Expect 401/403 after the fix (currently 200). Run `python manage.py test apps.knowledgebase` after updating tests.</t>
        </is>
      </c>
      <c r="V2" s="9" t="inlineStr">
        <is>
          <t>CWE-306, CWE-862; OWASP Top 10 2021 A01; OWASP API Top 10 2023 API2/API5</t>
        </is>
      </c>
      <c r="W2" s="11" t="n"/>
      <c r="X2" s="11" t="inlineStr">
        <is>
          <t>Open</t>
        </is>
      </c>
    </row>
    <row r="3">
      <c r="A3" s="11" t="inlineStr">
        <is>
          <t>BrightSideCarwash-backend</t>
        </is>
      </c>
      <c r="B3" s="11" t="inlineStr">
        <is>
          <t>AUTH-002</t>
        </is>
      </c>
      <c r="C3" s="11" t="inlineStr">
        <is>
          <t>Authentication &amp; Authorization</t>
        </is>
      </c>
      <c r="D3" s="11" t="inlineStr">
        <is>
          <t>Missing Authentication (public dev endpoints)</t>
        </is>
      </c>
      <c r="E3" s="11" t="inlineStr">
        <is>
          <t>Vulnerability</t>
        </is>
      </c>
      <c r="F3" s="9" t="inlineStr">
        <is>
          <t>Unauthenticated endpoint creates bookable services in the live Square catalog</t>
        </is>
      </c>
      <c r="G3" s="9" t="inlineStr">
        <is>
          <t>POST /api/appointments/services (marked "Just for testing, not needed in a production application") has no guard and no permission metadata; the global OptionalJwtGuard lets anonymous callers through. It upserts an APPOINTMENTS_SERVICE catalog item with caller-chosen name, price and duration, bookable at all locations and assigned to a hard-coded real team member id. Because checkout charges whatever price Square holds for the variation, an attacker can create a 1-cent service, then book and pay for it, occupying real slots and polluting the production catalog. POST /api/appointments/test-confirmation-email is a second unauthenticated test endpoint that sends mail from the business address to the configured system mailbox on demand.</t>
        </is>
      </c>
      <c r="H3" s="12" t="inlineStr">
        <is>
          <t>@Post('services')
@HttpCode(HttpStatus.CREATED)
async createNewService(@Body() dto: CreateBookableServiceDto) {
  const service = await this.bookingService.createBookableService(</t>
        </is>
      </c>
      <c r="I3" s="11" t="inlineStr">
        <is>
          <t>High</t>
        </is>
      </c>
      <c r="J3" s="11" t="inlineStr">
        <is>
          <t>Critical</t>
        </is>
      </c>
      <c r="K3" s="11" t="inlineStr">
        <is>
          <t>High</t>
        </is>
      </c>
      <c r="L3" s="11" t="inlineStr">
        <is>
          <t>S</t>
        </is>
      </c>
      <c r="M3" s="11" t="inlineStr">
        <is>
          <t>Yes</t>
        </is>
      </c>
      <c r="N3" s="11" t="inlineStr">
        <is>
          <t>nest-app: Booking &amp; Payments (Square)</t>
        </is>
      </c>
      <c r="O3" s="11" t="inlineStr">
        <is>
          <t>apps/nest-app/src/modules/application/booking/square-booking.controller.ts</t>
        </is>
      </c>
      <c r="P3" s="11" t="inlineStr">
        <is>
          <t>26-29</t>
        </is>
      </c>
      <c r="Q3" s="9" t="inlineStr">
        <is>
          <t>apps/nest-app/src/modules/application/booking/square-booking.controller.ts:176
apps/nest-app/src/modules/application/booking/squareup-booking.service.ts:88</t>
        </is>
      </c>
      <c r="R3" s="11" t="n">
        <v>3</v>
      </c>
      <c r="S3" s="9" t="inlineStr">
        <is>
          <t>Business integrity: production Square catalog can be modified by anyone; enables mispriced bookings and slot hoarding; support/clean-up cost. Email endpoint is a mail-abuse/noise vector. Priority is Critical (above severity) because the route is public, trivially exploitable and the fix is a one-line removal.</t>
        </is>
      </c>
      <c r="T3" s="9" t="inlineStr">
        <is>
          <t>Delete both endpoints from the production build (or guard with JwtAuthGuard + PermissionGuard + @RequirePermission and env flag). Move catalog administration into Square Dashboard/admin tooling. Also consider a global default-deny guard (see AUTH "fail-open authorization model").</t>
        </is>
      </c>
      <c r="U3" s="9" t="inlineStr">
        <is>
          <t>`curl -X POST https://&lt;host&gt;/api/appointments/services -H "Content-Type: application/json" -d '{"name":"x","priceCents":1,"durationMinutes":30,"description":"x"}'` returns 201 with a catalogItemId/serviceVariationId. After the fix expect 401/404.</t>
        </is>
      </c>
      <c r="V3" s="9" t="inlineStr">
        <is>
          <t>CWE-306; OWASP API Top 10 2023 API5 (Broken Function Level Authorization)</t>
        </is>
      </c>
      <c r="W3" s="11" t="n"/>
      <c r="X3" s="11" t="inlineStr">
        <is>
          <t>Open</t>
        </is>
      </c>
    </row>
    <row r="4">
      <c r="A4" s="11" t="inlineStr">
        <is>
          <t>BrightSideCarwash-backend</t>
        </is>
      </c>
      <c r="B4" s="11" t="inlineStr">
        <is>
          <t>AUTH-003</t>
        </is>
      </c>
      <c r="C4" s="11" t="inlineStr">
        <is>
          <t>Authentication &amp; Authorization</t>
        </is>
      </c>
      <c r="D4" s="11" t="inlineStr">
        <is>
          <t>Token Lifetime (JWT never effectively expires)</t>
        </is>
      </c>
      <c r="E4" s="11" t="inlineStr">
        <is>
          <t>Defect</t>
        </is>
      </c>
      <c r="F4" s="9" t="inlineStr">
        <is>
          <t>JWT expiresIn receives an absolute epoch timestamp, so tokens live ~57 years</t>
        </is>
      </c>
      <c r="G4" s="9" t="inlineStr">
        <is>
          <t>DateHelper.generateFutureDate() returns `unixSeconds` = an absolute epoch second (Math.floor((Date.now()+duration)/1000), about 1.79 billion in 2026). AuthService passes that value as `expiresIn`, which jsonwebtoken interprets as a duration in seconds added to iat. The intended 15 minute access token (7d default) and 7 day refresh token therefore expire roughly 57 years from issue. The only remaining revocation control is the Redis session blacklist. The same mistake is repeated in the refresh flow.</t>
        </is>
      </c>
      <c r="H4" s="12" t="inlineStr">
        <is>
          <t>const accessToken = this.jwtService.sign(accessTokenPayload, { expiresIn: DateHelper.generateFutureDate(appConfig().jwt.access_token_expiry || '7d').unixSeconds, secret: appConfig().jwt.access_token_secret });
const refreshToken = this.jwtService.sign(refreshTokenPayload, { expiresIn: DateHelper.generateFutureDate(appConfig().jwt.refresh_token_expiry || '30d').unixSeconds, secret: appConfig().jwt.refresh_token_secret });</t>
        </is>
      </c>
      <c r="I4" s="11" t="inlineStr">
        <is>
          <t>High</t>
        </is>
      </c>
      <c r="J4" s="11" t="inlineStr">
        <is>
          <t>Critical</t>
        </is>
      </c>
      <c r="K4" s="11" t="inlineStr">
        <is>
          <t>High</t>
        </is>
      </c>
      <c r="L4" s="11" t="inlineStr">
        <is>
          <t>S</t>
        </is>
      </c>
      <c r="M4" s="11" t="inlineStr">
        <is>
          <t>Yes</t>
        </is>
      </c>
      <c r="N4" s="11" t="inlineStr">
        <is>
          <t>nest-app: Auth &amp; RBAC</t>
        </is>
      </c>
      <c r="O4" s="11" t="inlineStr">
        <is>
          <t>apps/nest-app/src/modules/auth/auth.service.ts</t>
        </is>
      </c>
      <c r="P4" s="11" t="inlineStr">
        <is>
          <t>422-423</t>
        </is>
      </c>
      <c r="Q4" s="9" t="inlineStr">
        <is>
          <t>apps/nest-app/src/modules/auth/auth.service.ts:498
apps/nest-app/src/modules/auth/auth.service.ts:501
apps/nest-app/src/common/helper/date.helper.ts:185</t>
        </is>
      </c>
      <c r="R4" s="11" t="n">
        <v>4</v>
      </c>
      <c r="S4" s="9" t="inlineStr">
        <is>
          <t>Any leaked access or refresh token (logs, browser storage, shared device, departed employee) gives multi-decade access to admin APIs including lead/payment data. Compounds the log-header leakage finding and makes password changes ineffective (sessions not revoked). Reported as High severity; priority is Critical because it affects every login and the fix is small.</t>
        </is>
      </c>
      <c r="T4" s="9" t="inlineStr">
        <is>
          <t>Pass the duration string directly: `expiresIn: appConfig().jwt.access_token_expiry` ('15m') and `refresh_token_expiry` ('7d'), or compute `Math.floor(ms/1000)` durations. Fix date.helper naming/usage, add a unit test asserting exp-iat, and force re-login (rotate JWT secrets) after deploying to invalidate the long-lived tokens already issued.</t>
        </is>
      </c>
      <c r="U4" s="9" t="inlineStr">
        <is>
          <t>Log in via POST /api/auth/login, base64-decode the access token payload and compare `exp - iat` (currently ~1.79e9 seconds instead of 900). After the fix it must equal the configured lifetime.</t>
        </is>
      </c>
      <c r="V4" s="9" t="inlineStr">
        <is>
          <t>CWE-613 (Insufficient Session Expiration); OWASP API Top 10 2023 API2</t>
        </is>
      </c>
      <c r="W4" s="11" t="n"/>
      <c r="X4" s="11" t="inlineStr">
        <is>
          <t>Open</t>
        </is>
      </c>
    </row>
    <row r="5">
      <c r="A5" s="11" t="inlineStr">
        <is>
          <t>BrightSideCarwash-backend</t>
        </is>
      </c>
      <c r="B5" s="11" t="inlineStr">
        <is>
          <t>SEC-001</t>
        </is>
      </c>
      <c r="C5" s="11" t="inlineStr">
        <is>
          <t>Security</t>
        </is>
      </c>
      <c r="D5" s="11" t="inlineStr">
        <is>
          <t>Unrestricted File Upload</t>
        </is>
      </c>
      <c r="E5" s="11" t="inlineStr">
        <is>
          <t>Vulnerability</t>
        </is>
      </c>
      <c r="F5" s="9" t="inlineStr">
        <is>
          <t>Unauthenticated test endpoint writes arbitrary files into the public static directory</t>
        </is>
      </c>
      <c r="G5" s="9" t="inlineStr">
        <is>
          <t>POST /api/test-file-upload accepts any multipart file (memoryStorage, no fileFilter, no size limit, no auth) and AppService.test() stores it via SojebStorage.put(image.originalname, buffer). With FILE_STORAGE=local the file lands under ./public/storage, which main.ts serves publicly at /storage with Cross-Origin-Resource-Policy cross-origin. Attackers can host HTML/JS/SVG on the API origin (stored XSS, phishing on the brand domain), fill the disk, or exhaust memory with very large uploads.</t>
        </is>
      </c>
      <c r="H5" s="12" t="inlineStr">
        <is>
          <t>@Post('test-file-upload')
@UseInterceptors(
  FileInterceptor('image', { storage: multer.memoryStorage() as any }),
)
@ApiExcludeEndpoint()</t>
        </is>
      </c>
      <c r="I5" s="11" t="inlineStr">
        <is>
          <t>High</t>
        </is>
      </c>
      <c r="J5" s="11" t="inlineStr">
        <is>
          <t>Critical</t>
        </is>
      </c>
      <c r="K5" s="11" t="inlineStr">
        <is>
          <t>High</t>
        </is>
      </c>
      <c r="L5" s="11" t="inlineStr">
        <is>
          <t>S</t>
        </is>
      </c>
      <c r="M5" s="11" t="inlineStr">
        <is>
          <t>Yes</t>
        </is>
      </c>
      <c r="N5" s="11" t="inlineStr">
        <is>
          <t>nest-app: Public APIs &amp; app shell</t>
        </is>
      </c>
      <c r="O5" s="11" t="inlineStr">
        <is>
          <t>apps/nest-app/src/app.controller.ts</t>
        </is>
      </c>
      <c r="P5" s="11" t="inlineStr">
        <is>
          <t>78-82</t>
        </is>
      </c>
      <c r="Q5" s="9" t="inlineStr">
        <is>
          <t>apps/nest-app/src/app.service.ts:73
apps/nest-app/src/main.ts:89</t>
        </is>
      </c>
      <c r="R5" s="11" t="n">
        <v>3</v>
      </c>
      <c r="S5" s="9" t="inlineStr">
        <is>
          <t>Public content injection on the production API domain, denial of service (disk/memory), potential malware hosting. Priority Critical because it is anonymous, trivial and a pure removal fix.</t>
        </is>
      </c>
      <c r="T5" s="9" t="inlineStr">
        <is>
          <t>Delete AppController test routes (test-file-upload, test-file-stream, test-chunk-stream) and AppService.test(). Serve uploaded content from a separate cookie-less domain/bucket with forced Content-Type and `Content-Disposition`.</t>
        </is>
      </c>
      <c r="U5" s="9" t="inlineStr">
        <is>
          <t>`curl -F image=@poc.html https://&lt;host&gt;/api/test-file-upload` then `curl https://&lt;host&gt;/storage/poc.html` returns the uploaded HTML.</t>
        </is>
      </c>
      <c r="V5" s="9" t="inlineStr">
        <is>
          <t>CWE-434, CWE-79; OWASP API Top 10 2023 API8</t>
        </is>
      </c>
      <c r="W5" s="11" t="n"/>
      <c r="X5" s="11" t="inlineStr">
        <is>
          <t>Open</t>
        </is>
      </c>
    </row>
    <row r="6">
      <c r="A6" s="11" t="inlineStr">
        <is>
          <t>BrightSideCarwash-AdminDashboard-frontend</t>
        </is>
      </c>
      <c r="B6" s="11" t="inlineStr">
        <is>
          <t>AUTH-001</t>
        </is>
      </c>
      <c r="C6" s="11" t="inlineStr">
        <is>
          <t>Authentication &amp; Authorization</t>
        </is>
      </c>
      <c r="D6" s="11" t="inlineStr">
        <is>
          <t>Missing route/permission mapping</t>
        </is>
      </c>
      <c r="E6" s="11" t="inlineStr">
        <is>
          <t>Vulnerability</t>
        </is>
      </c>
      <c r="F6" s="9" t="inlineStr">
        <is>
          <t>Several admin routes have no permission requirement (AI Chatbox, Queries, Templates, Notifications)</t>
        </is>
      </c>
      <c r="G6" s="9" t="inlineStr">
        <is>
          <t>PermissionGuard allows any authenticated user through when a route matches neither ROUTE_PERMISSIONS nor a NAVIGATION_CONFIG item with a permission. The nav entries for Queries and all three AI Chatbox pages (chats, knowledge base upload/delete, AI campaigns) carry no permission field; /templates and /notifications are not in the nav config at all. Any invited staff member with an empty role therefore sees and can drive these screens (e.g. delete knowledge-base files, edit AI campaigns, change quote status) unless the backend independently enforces RBAC, which cannot be verified from this repo.</t>
        </is>
      </c>
      <c r="H6" s="12" t="inlineStr">
        <is>
          <t>// navigation.config.ts
{ id: "marketing-queries", label: "Queries", href: "/marketing/queries" },  // no permission
{ id: "ai-chatbox-knowledge", href: "/ai-chatbox/knowledge" },       // no permission
// PermissionGuard.tsx:226
if (!requiredPermission) { return &lt;&gt;{children}&lt;/&gt;; }</t>
        </is>
      </c>
      <c r="I6" s="11" t="inlineStr">
        <is>
          <t>High</t>
        </is>
      </c>
      <c r="J6" s="11" t="inlineStr">
        <is>
          <t>High</t>
        </is>
      </c>
      <c r="K6" s="11" t="inlineStr">
        <is>
          <t>Medium</t>
        </is>
      </c>
      <c r="L6" s="11" t="inlineStr">
        <is>
          <t>M</t>
        </is>
      </c>
      <c r="M6" s="11" t="inlineStr">
        <is>
          <t>Yes</t>
        </is>
      </c>
      <c r="N6" s="11" t="inlineStr">
        <is>
          <t>RBAC UI</t>
        </is>
      </c>
      <c r="O6" s="11" t="inlineStr">
        <is>
          <t>src/configs/navigation.config.ts</t>
        </is>
      </c>
      <c r="P6" s="11" t="inlineStr">
        <is>
          <t>56-61</t>
        </is>
      </c>
      <c r="Q6" s="9" t="inlineStr">
        <is>
          <t>src/configs/navigation.config.ts:134-157 (ai-chatbox items); src/components/shared/PermissionGuard.tsx:225-228 (default-allow); src/app/(admin)/templates/page.tsx; src/app/(admin)/notifications/page.tsx; src/lib/permissions.ts (no quote/ai/knowledge permissions defined)</t>
        </is>
      </c>
      <c r="R6" s="11" t="n">
        <v>6</v>
      </c>
      <c r="S6" s="9" t="inlineStr">
        <is>
          <t>Privilege boundary for the AI assistant, knowledge base and customer quote requests depends entirely on the unseen backend. Default-allow guard means any newly added route is unprotected by default. Confidence Medium because server-side enforcement is not visible.</t>
        </is>
      </c>
      <c r="T6" s="9" t="inlineStr">
        <is>
          <t>Make the guard default-deny: every route must be registered with a permission (fail closed and log unmapped routes). Add permissions such as quote:read/update, ai-chat:*, knowledge:*, ai-campaign:* to permissions.ts and attach them to the nav items and ROUTE_PERMISSIONS. Confirm the backend/AI service enforces the same checks.</t>
        </is>
      </c>
      <c r="U6" s="9" t="inlineStr">
        <is>
          <t>Log in as a user whose role has no permissions; navigate directly to /marketing/queries, /ai-chatbox/knowledge, /ai-chatbox/campaigns, /templates, /notifications: pages render. Then attempt the mutations and inspect whether the API rejects them.</t>
        </is>
      </c>
      <c r="V6" s="9" t="inlineStr">
        <is>
          <t>CWE-862, CWE-284; OWASP A01:2021; OWASP API Top 10 API5:2023</t>
        </is>
      </c>
      <c r="W6" s="11" t="inlineStr">
        <is>
          <t>AUTH-002</t>
        </is>
      </c>
      <c r="X6" s="11" t="inlineStr">
        <is>
          <t>Open</t>
        </is>
      </c>
    </row>
    <row r="7">
      <c r="A7" s="11" t="inlineStr">
        <is>
          <t>BrightSideCarwash-AdminDashboard-frontend</t>
        </is>
      </c>
      <c r="B7" s="11" t="inlineStr">
        <is>
          <t>BUG-001</t>
        </is>
      </c>
      <c r="C7" s="11" t="inlineStr">
        <is>
          <t>Bug / Correctness</t>
        </is>
      </c>
      <c r="D7" s="11" t="inlineStr">
        <is>
          <t>Token refresh bypass / inconsistent HTTP layer</t>
        </is>
      </c>
      <c r="E7" s="11" t="inlineStr">
        <is>
          <t>Defect</t>
        </is>
      </c>
      <c r="F7" s="9" t="inlineStr">
        <is>
          <t>Most API calls use raw fetch and bypass the 401 refresh interceptor</t>
        </is>
      </c>
      <c r="G7" s="9" t="inlineStr">
        <is>
          <t>Silent token refresh only exists in the axios interceptor. About 59 fetch() calls across 39 files (leads, gallery, news, testimonials, teams, campaigns, templates, email, stage, exports, hero, FAQ, lead detail) attach the token by hand and never refresh or retry. When the access token expires (README says 15 minutes) these calls fail with 401 and surface as generic errors until a page reload happens to trigger an axios call. When no cookie exists the header is literally 'Bearer null'. The README-described proactive refresh hook (hooks/useTokenRefresh.ts) does not exist. Cookie lifetime of 7 days means proxy.ts and isAuthenticated stay 'true' with a dead JWT.</t>
        </is>
      </c>
      <c r="H7" s="12" t="inlineStr">
        <is>
          <t>const token = getAccessToken();
const res = await fetch(`${process.env.NEXT_PUBLIC_API_BASE_URL}${url}`, {
  ...options,
  headers: { Authorization: `Bearer ${token}`, ...</t>
        </is>
      </c>
      <c r="I7" s="11" t="inlineStr">
        <is>
          <t>High</t>
        </is>
      </c>
      <c r="J7" s="11" t="inlineStr">
        <is>
          <t>High</t>
        </is>
      </c>
      <c r="K7" s="11" t="inlineStr">
        <is>
          <t>Medium</t>
        </is>
      </c>
      <c r="L7" s="11" t="inlineStr">
        <is>
          <t>L</t>
        </is>
      </c>
      <c r="M7" s="11" t="inlineStr">
        <is>
          <t>No</t>
        </is>
      </c>
      <c r="N7" s="11" t="inlineStr">
        <is>
          <t>Data access layer</t>
        </is>
      </c>
      <c r="O7" s="11" t="inlineStr">
        <is>
          <t>src/services/leads.api.ts</t>
        </is>
      </c>
      <c r="P7" s="11" t="inlineStr">
        <is>
          <t>54-68</t>
        </is>
      </c>
      <c r="Q7" s="9" t="inlineStr">
        <is>
          <t>Duplicated fetchFromBackend: gallery.api.ts:6, faq.api.ts:12, businessHours.api.ts:6, news.api.ts:8, testimonial.api.ts:14, category.api.ts:8, hero.api.ts:24, stage.service.ts:20, lead-detail.service.ts:7; inline fetch: team.api.ts:125, campaign.api.ts:150, template.api.ts:104, email-list.api.ts:36, useExportCSV.ts:19, useExportExcel.ts:38, AddMemberModal.tsx:17, CreateRoleModal.tsx:39, LeadDetailContent.tsx:147, and others (59 fetch( calls total; grep 'fetch(' src)</t>
        </is>
      </c>
      <c r="R7" s="11" t="n">
        <v>59</v>
      </c>
      <c r="S7" s="9" t="inlineStr">
        <is>
          <t>Core features (leads, CMS, teams, campaigns) intermittently fail after token expiry with confusing errors, forcing manual reload/re-login; refresh behaviour differs by screen. Confidence Medium because actual JWT lifetime is a backend property (README states 15 min).</t>
        </is>
      </c>
      <c r="T7" s="9" t="inlineStr">
        <is>
          <t>Route all HTTP through one client (axiosInstance or a single fetch wrapper with the same refresh/queue logic and Authorization handling), and delete the ~10 copies of fetchFromBackend. Use RTK Query fetchBaseQuery with a re-auth wrapper (baseQueryWithReauth) instead of baseQuery: async () =&gt; ({data:null}). Don't send the header when no token is present.</t>
        </is>
      </c>
      <c r="U7" s="9" t="inlineStr">
        <is>
          <t>Set a short-lived access token (or delete accessToken cookie value / use an expired JWT), open /leads: request /admin/lead returns 401 and no /auth/refresh-tokens call is made. Repeat on a page using axiosInstance (e.g. /marketing/queries) and observe the refresh happen.</t>
        </is>
      </c>
      <c r="V7" s="9" t="inlineStr">
        <is>
          <t>CWE-613; OWASP ASVS 3.3</t>
        </is>
      </c>
      <c r="W7" s="11" t="inlineStr">
        <is>
          <t>ARCH-001</t>
        </is>
      </c>
      <c r="X7" s="11" t="inlineStr">
        <is>
          <t>Open</t>
        </is>
      </c>
    </row>
    <row r="8">
      <c r="A8" s="11" t="inlineStr">
        <is>
          <t>BrightSideCarwash-AdminDashboard-frontend</t>
        </is>
      </c>
      <c r="B8" s="11" t="inlineStr">
        <is>
          <t>SEC-001</t>
        </is>
      </c>
      <c r="C8" s="11" t="inlineStr">
        <is>
          <t>Security</t>
        </is>
      </c>
      <c r="D8" s="11" t="inlineStr">
        <is>
          <t>Token Storage (JS-readable cookies)</t>
        </is>
      </c>
      <c r="E8" s="11" t="inlineStr">
        <is>
          <t>Vulnerability</t>
        </is>
      </c>
      <c r="F8" s="9" t="inlineStr">
        <is>
          <t>Access and refresh tokens stored in JavaScript-readable cookies</t>
        </is>
      </c>
      <c r="G8" s="9" t="inlineStr">
        <is>
          <t>Both the access token and the 7-day refresh token are written with document.cookie, so they are readable by any script running on the origin (XSS, malicious npm dependency, browser extension). The README claims 'httpOnly cookies', which is not what the code does. Cookie max-age for the access token is also 7 days (auth.config.ts) regardless of the JWT's real lifetime. The refresh token is sent in a JSON body to /auth/refresh-tokens, so the backend contract is also token-in-JS.</t>
        </is>
      </c>
      <c r="H8" s="12" t="inlineStr">
        <is>
          <t>document.cookie = `${name}=${encodeURIComponent(value)}; path=/; max-age=${maxAgeSeconds}; SameSite=Lax; secure`;
// AUTH_CONFIG: ACCESS_TOKEN_MAX_AGE: 7*24*60*60, REFRESH_TOKEN_MAX_AGE: 7*24*60*60</t>
        </is>
      </c>
      <c r="I8" s="11" t="inlineStr">
        <is>
          <t>High</t>
        </is>
      </c>
      <c r="J8" s="11" t="inlineStr">
        <is>
          <t>High</t>
        </is>
      </c>
      <c r="K8" s="11" t="inlineStr">
        <is>
          <t>High</t>
        </is>
      </c>
      <c r="L8" s="11" t="inlineStr">
        <is>
          <t>L</t>
        </is>
      </c>
      <c r="M8" s="11" t="inlineStr">
        <is>
          <t>No</t>
        </is>
      </c>
      <c r="N8" s="11" t="inlineStr">
        <is>
          <t>Auth &amp; Session</t>
        </is>
      </c>
      <c r="O8" s="11" t="inlineStr">
        <is>
          <t>src/lib/auth-client.ts</t>
        </is>
      </c>
      <c r="P8" s="11" t="inlineStr">
        <is>
          <t>5-8</t>
        </is>
      </c>
      <c r="Q8" s="9" t="inlineStr">
        <is>
          <t>src/lib/auth-client.ts:15-19 (getCookie); src/configs/auth.config.ts:7-8; src/context/SocketContext.tsx:32-40 (second cookie reader); src/lib/axios-instance.ts:72 (getRefreshToken); README.md:20</t>
        </is>
      </c>
      <c r="R8" s="11" t="n">
        <v>5</v>
      </c>
      <c r="S8" s="9" t="inlineStr">
        <is>
          <t>Any XSS or compromised third-party script can steal a long-lived refresh token and take over an admin account (lead PII, payments, team/role management, website CMS, mass email). Priority High rather than Critical because no confirmed XSS sink was found (see SEC-002).</t>
        </is>
      </c>
      <c r="T8" s="9" t="inlineStr">
        <is>
          <t>Have the backend set access/refresh tokens as HttpOnly; Secure; SameSite=Strict cookies (or use a Next.js route-handler/BFF that proxies API calls and holds tokens server-side). Remove getCookie/setTokens from client code, use credentials:'include', and shorten client-side cookie lifetimes. Until then, add a strict CSP (SEC-003) to reduce XSS blast radius.</t>
        </is>
      </c>
      <c r="U8" s="9" t="inlineStr">
        <is>
          <t>Log in, open DevTools &gt; Application &gt; Cookies: accessToken/refreshToken lack the HttpOnly flag; run document.cookie in the console and observe both tokens. After fix, document.cookie must not list them.</t>
        </is>
      </c>
      <c r="V8" s="9" t="inlineStr">
        <is>
          <t>CWE-922, CWE-1004; OWASP A02:2021/A07:2021; OWASP ASVS 3.4</t>
        </is>
      </c>
      <c r="W8" s="11" t="inlineStr">
        <is>
          <t>SEC-003</t>
        </is>
      </c>
      <c r="X8" s="11" t="inlineStr">
        <is>
          <t>Open</t>
        </is>
      </c>
    </row>
    <row r="9">
      <c r="A9" s="11" t="inlineStr">
        <is>
          <t>BrightSideCarwash-backend</t>
        </is>
      </c>
      <c r="B9" s="11" t="inlineStr">
        <is>
          <t>AUTH-005</t>
        </is>
      </c>
      <c r="C9" s="11" t="inlineStr">
        <is>
          <t>Authentication &amp; Authorization</t>
        </is>
      </c>
      <c r="D9" s="11" t="inlineStr">
        <is>
          <t>Missing Authorization (function level)</t>
        </is>
      </c>
      <c r="E9" s="11" t="inlineStr">
        <is>
          <t>Vulnerability</t>
        </is>
      </c>
      <c r="F9" s="9" t="inlineStr">
        <is>
          <t>Admin quotes, FAQ and gallery controllers have no permission check</t>
        </is>
      </c>
      <c r="G9" s="9" t="inlineStr">
        <is>
          <t>These controllers apply JwtAuthGuard + PermissionGuard but declare no @RequirePermission, and PermissionGuard returns true when no permission metadata exists. Any authenticated account, including the seeded 'Manager' role that only holds lead:* permissions or a newly invited user with an empty role, can list, edit and delete customer quote requests (name, email, phone, vehicle) and change public site content (FAQ, gallery).</t>
        </is>
      </c>
      <c r="H9" s="12" t="inlineStr">
        <is>
          <t>@UseGuards(JwtAuthGuard, PermissionGuard)</t>
        </is>
      </c>
      <c r="I9" s="11" t="inlineStr">
        <is>
          <t>High</t>
        </is>
      </c>
      <c r="J9" s="11" t="inlineStr">
        <is>
          <t>High</t>
        </is>
      </c>
      <c r="K9" s="11" t="inlineStr">
        <is>
          <t>High</t>
        </is>
      </c>
      <c r="L9" s="11" t="inlineStr">
        <is>
          <t>M</t>
        </is>
      </c>
      <c r="M9" s="11" t="inlineStr">
        <is>
          <t>Yes</t>
        </is>
      </c>
      <c r="N9" s="11" t="inlineStr">
        <is>
          <t>nest-app: Admin CRM (leads, campaigns, email, team, roles, reports)</t>
        </is>
      </c>
      <c r="O9" s="11" t="inlineStr">
        <is>
          <t>apps/nest-app/src/modules/admin/quote/quote.controller.ts</t>
        </is>
      </c>
      <c r="P9" s="11" t="inlineStr">
        <is>
          <t>38</t>
        </is>
      </c>
      <c r="Q9" s="9" t="inlineStr">
        <is>
          <t>apps/nest-app/src/modules/admin/faq/faq.controller.ts:13
apps/nest-app/src/modules/admin/gallery/gallery.controller.ts:21
apps/nest-app/src/modules/auth/guards/permission.guard.ts:49
apps/nest-app/prisma/seed.ts:247</t>
        </is>
      </c>
      <c r="R9" s="11" t="n">
        <v>3</v>
      </c>
      <c r="S9" s="9" t="inlineStr">
        <is>
          <t>Horizontal/vertical privilege issue: low-privileged staff can read and delete customer PII (quotes) and deface the marketing site. Also violates least privilege promised by the RBAC model.</t>
        </is>
      </c>
      <c r="T9" s="9" t="inlineStr">
        <is>
          <t>Add class-level @RequirePermission('quote'), ('faq'), ('gallery') (resource form maps HTTP verbs to :read/:create/:update/:delete) and seed matching permissions. Make PermissionGuard deny (or log loudly) when metadata is missing on a guarded route.</t>
        </is>
      </c>
      <c r="U9" s="9" t="inlineStr">
        <is>
          <t>Log in as manager@&lt;seed&gt; (lead-only permissions) and call GET /api/admin/quotes; the guard passes today (expected 403).</t>
        </is>
      </c>
      <c r="V9" s="9" t="inlineStr">
        <is>
          <t>CWE-862; OWASP API Top 10 2023 API5</t>
        </is>
      </c>
      <c r="W9" s="11" t="inlineStr">
        <is>
          <t>AUTH-006</t>
        </is>
      </c>
      <c r="X9" s="11" t="inlineStr">
        <is>
          <t>Open</t>
        </is>
      </c>
    </row>
    <row r="10">
      <c r="A10" s="11" t="inlineStr">
        <is>
          <t>BrightSideCarwash-backend</t>
        </is>
      </c>
      <c r="B10" s="11" t="inlineStr">
        <is>
          <t>BUG-001</t>
        </is>
      </c>
      <c r="C10" s="11" t="inlineStr">
        <is>
          <t>Bug / Correctness</t>
        </is>
      </c>
      <c r="D10" s="11" t="inlineStr">
        <is>
          <t>Money Units (cents stored as dollars)</t>
        </is>
      </c>
      <c r="E10" s="11" t="inlineStr">
        <is>
          <t>Defect</t>
        </is>
      </c>
      <c r="F10" s="9" t="inlineStr">
        <is>
          <t>Payments are stored in cents in a dollar Decimal column (amounts inflated 100x)</t>
        </is>
      </c>
      <c r="G10" s="9" t="inlineStr">
        <is>
          <t>Square amounts are integer cents. createPaymentRecord writes `amount: totalCostCents` into payments.amount, which the schema defines as Decimal(10,2) and all consumers treat as currency units: exports print `${currency} ${Number(p.amount).toFixed(2)}`, revenue KPIs sum the column. A $49.99 booking is recorded and shown as 4999.00. Lead dashboards and deposit analytics use the same column.</t>
        </is>
      </c>
      <c r="H10" s="12" t="inlineStr">
        <is>
          <t>deposit_amount: totalCostCents,</t>
        </is>
      </c>
      <c r="I10" s="11" t="inlineStr">
        <is>
          <t>High</t>
        </is>
      </c>
      <c r="J10" s="11" t="inlineStr">
        <is>
          <t>High</t>
        </is>
      </c>
      <c r="K10" s="11" t="inlineStr">
        <is>
          <t>High</t>
        </is>
      </c>
      <c r="L10" s="11" t="inlineStr">
        <is>
          <t>L</t>
        </is>
      </c>
      <c r="M10" s="11" t="inlineStr">
        <is>
          <t>No</t>
        </is>
      </c>
      <c r="N10" s="11" t="inlineStr">
        <is>
          <t>nest-app: Booking &amp; Payments (Square)</t>
        </is>
      </c>
      <c r="O10" s="11" t="inlineStr">
        <is>
          <t>apps/nest-app/src/modules/application/booking/squareup-booking.service.ts</t>
        </is>
      </c>
      <c r="P10" s="11" t="inlineStr">
        <is>
          <t>1234</t>
        </is>
      </c>
      <c r="Q10" s="9" t="inlineStr">
        <is>
          <t>apps/nest-app/src/modules/admin/payment-transaction/payment-transaction.service.ts:218
apps/nest-app/src/modules/admin/report/services/deposit.analytics.service.ts:44
apps/nest-app/src/modules/admin/lead/lead.service.ts:434
apps/nest-app/prisma/schema.prisma:380</t>
        </is>
      </c>
      <c r="R10" s="11" t="n">
        <v>5</v>
      </c>
      <c r="S10" s="9" t="inlineStr">
        <is>
          <t>Financial reporting and revenue KPIs shown to management are wrong by a factor of 100; reconciliation with Square fails. Fix requires a data migration of existing rows (size L).</t>
        </is>
      </c>
      <c r="T10" s="9" t="inlineStr">
        <is>
          <t>Convert to major units at write time (`(cents/100).toFixed(2)` via Prisma.Decimal) or store integer cents consistently and format at read time; migrate existing rows (`UPDATE payments SET amount = amount/100`) inside a reviewed migration; add a unit test using a 4999-cent fixture.</t>
        </is>
      </c>
      <c r="U10" s="9" t="inlineStr">
        <is>
          <t>Complete a sandbox booking priced $49.99 and query `SELECT amount FROM payments ORDER BY created_at DESC LIMIT 1` (returns 4999.00); GET /api/payment-transaction/export/csv shows "USD 4999.00".</t>
        </is>
      </c>
      <c r="V10" s="9" t="inlineStr">
        <is>
          <t>CWE-682 (Incorrect Calculation); Square Money docs (amounts are in smallest currency unit)</t>
        </is>
      </c>
      <c r="W10" s="11" t="n"/>
      <c r="X10" s="11" t="inlineStr">
        <is>
          <t>Open</t>
        </is>
      </c>
    </row>
    <row r="11">
      <c r="A11" s="11" t="inlineStr">
        <is>
          <t>BrightSideCarwash-backend</t>
        </is>
      </c>
      <c r="B11" s="11" t="inlineStr">
        <is>
          <t>BUG-003</t>
        </is>
      </c>
      <c r="C11" s="11" t="inlineStr">
        <is>
          <t>Bug / Correctness</t>
        </is>
      </c>
      <c r="D11" s="11" t="inlineStr">
        <is>
          <t>Race Condition / Missing Idempotency</t>
        </is>
      </c>
      <c r="E11" s="11" t="inlineStr">
        <is>
          <t>Defect</t>
        </is>
      </c>
      <c r="F11" s="9" t="inlineStr">
        <is>
          <t>Checkout can create duplicate bookings and charges (random idempotency keys, lock not consumed)</t>
        </is>
      </c>
      <c r="G11" s="9" t="inlineStr">
        <is>
          <t>confirmBookingWithDeposit() validates the Redis lock but does not atomically consume it; the lock is deleted only after booking, payment, DB writes and email. Bookings.create and payments.create each use `idempotencyKey: randomUUID()`, so a retried or concurrent request with the same lockToken (double click, network retry, client bug) is not de-duplicated by Square. Two overlapping requests can both pass assertLockOwnership and both charge the card.</t>
        </is>
      </c>
      <c r="H11" s="12" t="inlineStr">
        <is>
          <t>const paymentResponse = await this.squareClient.payments.create({
    sourceId: payload.sourceId,
    idempotencyKey: randomUUID(),
    amountMoney: {
        amount: BigInt(calculatedTotalCostCents),</t>
        </is>
      </c>
      <c r="I11" s="11" t="inlineStr">
        <is>
          <t>High</t>
        </is>
      </c>
      <c r="J11" s="11" t="inlineStr">
        <is>
          <t>High</t>
        </is>
      </c>
      <c r="K11" s="11" t="inlineStr">
        <is>
          <t>Medium</t>
        </is>
      </c>
      <c r="L11" s="11" t="inlineStr">
        <is>
          <t>M</t>
        </is>
      </c>
      <c r="M11" s="11" t="inlineStr">
        <is>
          <t>Yes</t>
        </is>
      </c>
      <c r="N11" s="11" t="inlineStr">
        <is>
          <t>nest-app: Booking &amp; Payments (Square)</t>
        </is>
      </c>
      <c r="O11" s="11" t="inlineStr">
        <is>
          <t>apps/nest-app/src/modules/application/booking/squareup-booking.service.ts</t>
        </is>
      </c>
      <c r="P11" s="11" t="inlineStr">
        <is>
          <t>776-780</t>
        </is>
      </c>
      <c r="Q11" s="9" t="inlineStr">
        <is>
          <t>apps/nest-app/src/modules/application/booking/squareup-booking.service.ts:762
apps/nest-app/src/modules/application/booking/squareup-booking.service.ts:649
apps/nest-app/src/modules/application/booking/squareup-booking.service.ts:827</t>
        </is>
      </c>
      <c r="R11" s="11" t="n">
        <v>4</v>
      </c>
      <c r="S11" s="9" t="inlineStr">
        <is>
          <t>Customers double charged and double booked; refunds and support effort; chargebacks. Confidence Medium because the exact Square behaviour for overlapping bookings was not exercised.</t>
        </is>
      </c>
      <c r="T11" s="9" t="inlineStr">
        <is>
          <t>Derive idempotency keys from the lockToken (e.g. `pay:${lockToken}`), atomically claim the lock first (Lua/GETDEL or SET NX "processing") and reject concurrent use, store the result under the lock for replays, and on unknown outcomes reconcile via Square before retrying.</t>
        </is>
      </c>
      <c r="U11" s="9" t="inlineStr">
        <is>
          <t>In sandbox, send two POST /appointments/checkout requests in parallel with the same lockToken and sourceId and check Square for two payments.</t>
        </is>
      </c>
      <c r="V11" s="9" t="inlineStr">
        <is>
          <t>CWE-362, CWE-799; Square idempotency docs</t>
        </is>
      </c>
      <c r="W11" s="11" t="n"/>
      <c r="X11" s="11" t="inlineStr">
        <is>
          <t>Open</t>
        </is>
      </c>
    </row>
    <row r="12">
      <c r="A12" s="11" t="inlineStr">
        <is>
          <t>BrightSideCarwash-backend</t>
        </is>
      </c>
      <c r="B12" s="11" t="inlineStr">
        <is>
          <t>CFG-001</t>
        </is>
      </c>
      <c r="C12" s="11" t="inlineStr">
        <is>
          <t>Configuration &amp; Environment</t>
        </is>
      </c>
      <c r="D12" s="11" t="inlineStr">
        <is>
          <t>Insecure Defaults</t>
        </is>
      </c>
      <c r="E12" s="11" t="inlineStr">
        <is>
          <t>Vulnerability</t>
        </is>
      </c>
      <c r="F12" s="9" t="inlineStr">
        <is>
          <t>Django ships insecure defaults: known SECRET_KEY, DEBUG on, any host, JWT key fallback</t>
        </is>
      </c>
      <c r="G12" s="9" t="inlineStr">
        <is>
          <t>settings.py defaults SECRET_KEY to a published string, DEBUG to True (explicit default overrides the Env(DEBUG=False) default), ALLOWED_HOSTS to ['*'], DB credentials to brightside_user/brightside_pass and MinIO credentials to minioadmin. SIMPLE_JWT SIGNING_KEY falls back to SECRET_KEY, so a deployment that forgets JWT_SECRET signs admin JWTs with the public default (forgeable). HSTS, SSL redirect, secure cookies and CSRF wildcard origins (ngrok/loca.lt) are left at dev values. .env.example itself ships DEBUG=True.</t>
        </is>
      </c>
      <c r="H12" s="12" t="inlineStr">
        <is>
          <t>SECRET_KEY = env("SECRET_KEY", default="insecure-dev-key")
DEBUG = env.bool("DEBUG", default=True)
ALLOWED_HOSTS = env.list("ALLOWED_HOSTS", default=["*"])</t>
        </is>
      </c>
      <c r="I12" s="11" t="inlineStr">
        <is>
          <t>High</t>
        </is>
      </c>
      <c r="J12" s="11" t="inlineStr">
        <is>
          <t>High</t>
        </is>
      </c>
      <c r="K12" s="11" t="inlineStr">
        <is>
          <t>High</t>
        </is>
      </c>
      <c r="L12" s="11" t="inlineStr">
        <is>
          <t>S</t>
        </is>
      </c>
      <c r="M12" s="11" t="inlineStr">
        <is>
          <t>Yes</t>
        </is>
      </c>
      <c r="N12" s="11" t="inlineStr">
        <is>
          <t>django-app: Config &amp; Service Sync</t>
        </is>
      </c>
      <c r="O12" s="11" t="inlineStr">
        <is>
          <t>apps/django-app/config/settings.py</t>
        </is>
      </c>
      <c r="P12" s="11" t="inlineStr">
        <is>
          <t>22-24</t>
        </is>
      </c>
      <c r="Q12" s="9" t="inlineStr">
        <is>
          <t>apps/django-app/config/settings.py:238
apps/django-app/config/settings.py:30
apps/django-app/config/settings.py:37
apps/django-app/.env.example:3</t>
        </is>
      </c>
      <c r="R12" s="11" t="n">
        <v>5</v>
      </c>
      <c r="S12" s="9" t="inlineStr">
        <is>
          <t>DEBUG tracebacks leak settings/paths; predictable secrets allow token forgery and session tampering. Severity depends on whether production env overrides these (not verifiable from the repo).</t>
        </is>
      </c>
      <c r="T12" s="9" t="inlineStr">
        <is>
          <t>Remove defaults for SECRET_KEY/JWT_SECRET/DB creds (env() with no default fails fast), DEBUG default False, explicit ALLOWED_HOSTS, enable HSTS/secure cookies/SSL redirect, drop ngrok origins outside dev, add `manage.py check --deploy` to CI.</t>
        </is>
      </c>
      <c r="U12" s="9" t="inlineStr">
        <is>
          <t>Start the container with no .env: it boots with DEBUG=True and the default key; request a 404 to see the debug page.</t>
        </is>
      </c>
      <c r="V12" s="9" t="inlineStr">
        <is>
          <t>CWE-1188, CWE-489; Django deployment checklist</t>
        </is>
      </c>
      <c r="W12" s="11" t="n"/>
      <c r="X12" s="11" t="inlineStr">
        <is>
          <t>Open</t>
        </is>
      </c>
    </row>
    <row r="13">
      <c r="A13" s="11" t="inlineStr">
        <is>
          <t>BrightSideCarwash-backend</t>
        </is>
      </c>
      <c r="B13" s="11" t="inlineStr">
        <is>
          <t>DEP-001</t>
        </is>
      </c>
      <c r="C13" s="11" t="inlineStr">
        <is>
          <t>Dependency Management</t>
        </is>
      </c>
      <c r="D13" s="11" t="inlineStr">
        <is>
          <t>Known Vulnerabilities (npm)</t>
        </is>
      </c>
      <c r="E13" s="11" t="inlineStr">
        <is>
          <t>Vulnerability</t>
        </is>
      </c>
      <c r="F13" s="9" t="inlineStr">
        <is>
          <t>yarn audit reports 14 critical and 452 high advisory paths in the Nest dependency tree</t>
        </is>
      </c>
      <c r="G13" s="9" t="inlineStr">
        <is>
          <t>`yarn audit --json` (yarn.lock, 1,733 packages, 60 distinct vulnerable modules; counts are per dependency path: 14 critical, 452 high, 275 moderate, 34 low) includes runtime-relevant items: @casl/ability 6.7.3 pinned (critical prototype pollution, fixed 6.7.5), multer &lt;2.1.0 via @nestjs/platform-express (high DoS, used for every upload), jws &lt;3.2.3 via @nestjs/jwt&gt;jsonwebtoken (high, improper HMAC verification, used for JWT), axios &lt;1.15.1 (high, direct), nodemailer 6.10.1 pinned (high DoS, fixed &gt;=7.0.11), socket.io engine.io/socket.io-parser/ws chain (high DoS), @nestjs/microservices pinned 11.0.0 (high DoS, fixed 11.1.19), path-to-regexp via @nestjs/core, lodash via @nestjs/config, fast-xml-parser via @google-cloud/storage (critical), protobufjs via @googlemaps/routing (critical, unused package), basic-ftp/extract-zip via puppeteer (critical/high, unused package). Many dev-only items (@nestjs/cli, eslint, @swc/cli) have no runtime reach.</t>
        </is>
      </c>
      <c r="H13" s="12" t="inlineStr">
        <is>
          <t>"@casl/ability": "6.7.3",</t>
        </is>
      </c>
      <c r="I13" s="11" t="inlineStr">
        <is>
          <t>High</t>
        </is>
      </c>
      <c r="J13" s="11" t="inlineStr">
        <is>
          <t>High</t>
        </is>
      </c>
      <c r="K13" s="11" t="inlineStr">
        <is>
          <t>High</t>
        </is>
      </c>
      <c r="L13" s="11" t="inlineStr">
        <is>
          <t>L</t>
        </is>
      </c>
      <c r="M13" s="11" t="inlineStr">
        <is>
          <t>No</t>
        </is>
      </c>
      <c r="N13" s="11" t="inlineStr">
        <is>
          <t>Dependencies &amp; Tests</t>
        </is>
      </c>
      <c r="O13" s="11" t="inlineStr">
        <is>
          <t>apps/nest-app/package.json</t>
        </is>
      </c>
      <c r="P13" s="11" t="inlineStr">
        <is>
          <t>28</t>
        </is>
      </c>
      <c r="Q13" s="9" t="inlineStr">
        <is>
          <t>apps/nest-app/package.json:71
apps/nest-app/package.json:43
apps/nest-app/package.json:54
apps/nest-app/package.json:87
apps/nest-app/package.json:45</t>
        </is>
      </c>
      <c r="R13" s="11" t="n">
        <v>6</v>
      </c>
      <c r="S13" s="9" t="inlineStr">
        <is>
          <t>Reachability varies: multer, jws, socket.io/ws, axios and nodemailer sit on public/authenticated request paths; others are transitive or dev only. Severity follows advisory severity adjusted for reachability. audit date 2026-09-30; advisories change daily.</t>
        </is>
      </c>
      <c r="T13" s="9" t="inlineStr">
        <is>
          <t>Upgrade @casl/ability &gt;=6.7.5, nodemailer &gt;=7.0.11, axios &gt;=1.15.1, align @nestjs/* to the same 11.1.x, refresh lockfile (`yarn upgrade`, resolutions for multer/jws/ws/engine.io), remove unused packages (puppeteer, firebase-admin, @googlemaps/*), re-run `yarn audit --groups dependencies` in CI.</t>
        </is>
      </c>
      <c r="U13" s="9" t="inlineStr">
        <is>
          <t>cd apps/nest-app &amp;&amp; yarn audit --groups dependencies (read-only, needs network); verify each advisory GHSA id in the audit output.</t>
        </is>
      </c>
      <c r="V13" s="9" t="inlineStr">
        <is>
          <t>GHSA-rgwj-5xj2-c3m3 and others from yarn audit; OWASP Top 10 2021 A06</t>
        </is>
      </c>
      <c r="W13" s="11" t="n"/>
      <c r="X13" s="11" t="inlineStr">
        <is>
          <t>Open</t>
        </is>
      </c>
    </row>
    <row r="14">
      <c r="A14" s="11" t="inlineStr">
        <is>
          <t>BrightSideCarwash-backend</t>
        </is>
      </c>
      <c r="B14" s="11" t="inlineStr">
        <is>
          <t>DEP-003</t>
        </is>
      </c>
      <c r="C14" s="11" t="inlineStr">
        <is>
          <t>Dependency Management</t>
        </is>
      </c>
      <c r="D14" s="11" t="inlineStr">
        <is>
          <t>End-of-life Framework</t>
        </is>
      </c>
      <c r="E14" s="11" t="inlineStr">
        <is>
          <t>Vulnerability</t>
        </is>
      </c>
      <c r="F14" s="9" t="inlineStr">
        <is>
          <t>Django is capped at 5.0.x, which is out of security support</t>
        </is>
      </c>
      <c r="G14" s="9" t="inlineStr">
        <is>
          <t>requirements.txt pins Django&gt;=5.0,&lt;5.1. Django 5.0 is not an LTS release and stopped receiving security fixes in April 2025 (per the Django release policy), so by the audit date any 5.0.x install lacks over a year of CVE patches; the constraint also prevents upgrading to 5.1/5.2 LTS. Confidence Medium because the resolved version is unknown (no lockfile) and the EOL date is from the release policy, not the repo.</t>
        </is>
      </c>
      <c r="H14" s="12" t="inlineStr">
        <is>
          <t>Django&gt;=5.0,&lt;5.1</t>
        </is>
      </c>
      <c r="I14" s="11" t="inlineStr">
        <is>
          <t>High</t>
        </is>
      </c>
      <c r="J14" s="11" t="inlineStr">
        <is>
          <t>High</t>
        </is>
      </c>
      <c r="K14" s="11" t="inlineStr">
        <is>
          <t>Medium</t>
        </is>
      </c>
      <c r="L14" s="11" t="inlineStr">
        <is>
          <t>M</t>
        </is>
      </c>
      <c r="M14" s="11" t="inlineStr">
        <is>
          <t>Yes</t>
        </is>
      </c>
      <c r="N14" s="11" t="inlineStr">
        <is>
          <t>Dependencies &amp; Tests</t>
        </is>
      </c>
      <c r="O14" s="11" t="inlineStr">
        <is>
          <t>apps/django-app/requirements.txt</t>
        </is>
      </c>
      <c r="P14" s="11" t="inlineStr">
        <is>
          <t>1</t>
        </is>
      </c>
      <c r="Q14" s="9" t="inlineStr">
        <is>
          <t>apps/django-app/requirements.txt:12</t>
        </is>
      </c>
      <c r="R14" s="11" t="n">
        <v>2</v>
      </c>
      <c r="S14" s="9" t="inlineStr">
        <is>
          <t>Unpatched framework vulnerabilities in a public-facing service.</t>
        </is>
      </c>
      <c r="T14" s="9" t="inlineStr">
        <is>
          <t>Upgrade to Django 5.2 LTS (or current supported release) and run the test suite; migrate google-generativeai to the supported google-genai SDK.</t>
        </is>
      </c>
      <c r="U14" s="9" t="inlineStr">
        <is>
          <t>`pip install -r requirements.txt &amp;&amp; python -c "import django;print(django.VERSION)"` in a scratch venv; consult https://www.djangoproject.com/download/#supported-versions.</t>
        </is>
      </c>
      <c r="V14" s="9" t="inlineStr">
        <is>
          <t>Django supported versions policy</t>
        </is>
      </c>
      <c r="W14" s="11" t="n"/>
      <c r="X14" s="11" t="inlineStr">
        <is>
          <t>Open</t>
        </is>
      </c>
    </row>
    <row r="15">
      <c r="A15" s="11" t="inlineStr">
        <is>
          <t>BrightSideCarwash-backend</t>
        </is>
      </c>
      <c r="B15" s="11" t="inlineStr">
        <is>
          <t>OPS-002</t>
        </is>
      </c>
      <c r="C15" s="11" t="inlineStr">
        <is>
          <t>DevOps / CI/CD / Deployment</t>
        </is>
      </c>
      <c r="D15" s="11" t="inlineStr">
        <is>
          <t>Compose (exposed data stores, weak creds)</t>
        </is>
      </c>
      <c r="E15" s="11" t="inlineStr">
        <is>
          <t>Vulnerability</t>
        </is>
      </c>
      <c r="F15" s="9" t="inlineStr">
        <is>
          <t>Compose publishes unauthenticated Redis and Postgres with weak credentials and :latest images</t>
        </is>
      </c>
      <c r="G15" s="9" t="inlineStr">
        <is>
          <t>docker-compose.yml maps Redis 6379 and Postgres 5432 to the host, Redis has no password, Postgres uses a trivial hard-coded password, and both use :latest tags. The application keeps role/permission caches, refresh tokens, session blacklists, booking locks and BullMQ queues in this Redis; PermissionGuard trusts the `role:*` keys, so write access to Redis equals privilege escalation (and can also un-revoke sessions). The `app` container also runs `yarn db:seed` at every start.</t>
        </is>
      </c>
      <c r="H15" s="12" t="inlineStr">
        <is>
          <t>image: redis:latest
  ports:
    - "6379:6379"      # no requirepass configured
...
image: postgres:latest / POSTGRES_PASSWORD: **** (4 chars), ports "5432:5432"</t>
        </is>
      </c>
      <c r="I15" s="11" t="inlineStr">
        <is>
          <t>High</t>
        </is>
      </c>
      <c r="J15" s="11" t="inlineStr">
        <is>
          <t>High</t>
        </is>
      </c>
      <c r="K15" s="11" t="inlineStr">
        <is>
          <t>Medium</t>
        </is>
      </c>
      <c r="L15" s="11" t="inlineStr">
        <is>
          <t>S</t>
        </is>
      </c>
      <c r="M15" s="11" t="inlineStr">
        <is>
          <t>Yes</t>
        </is>
      </c>
      <c r="N15" s="11" t="inlineStr">
        <is>
          <t>CI/CD &amp; Containers</t>
        </is>
      </c>
      <c r="O15" s="11" t="inlineStr">
        <is>
          <t>apps/nest-app/docker-compose.yml</t>
        </is>
      </c>
      <c r="P15" s="11" t="inlineStr">
        <is>
          <t>48</t>
        </is>
      </c>
      <c r="Q15" s="9" t="inlineStr">
        <is>
          <t>apps/nest-app/docker-compose.yml:28
apps/nest-app/docker-compose.yml:32
apps/nest-app/src/modules/auth/guards/permission.guard.ts:82</t>
        </is>
      </c>
      <c r="R15" s="11" t="n">
        <v>4</v>
      </c>
      <c r="S15" s="9" t="inlineStr">
        <is>
          <t>If the host firewall does not block these ports, an attacker can write role permissions to Redis or read/modify the database. Confidence Medium: depends on how production is actually deployed (CI uses pm2, not compose).</t>
        </is>
      </c>
      <c r="T15" s="9" t="inlineStr">
        <is>
          <t>Do not publish data-store ports (use the private network only), set requirepass/ACLs and TLS for Redis, source DB credentials from secrets, pin image versions, remove db:seed from the start command.</t>
        </is>
      </c>
      <c r="U15" s="9" t="inlineStr">
        <is>
          <t>From an external host: `redis-cli -h &lt;server&gt; -p 6379 ping`.</t>
        </is>
      </c>
      <c r="V15" s="9" t="inlineStr">
        <is>
          <t>CWE-306, CWE-1188; CIS Docker Benchmark 5.x</t>
        </is>
      </c>
      <c r="W15" s="11" t="n"/>
      <c r="X15" s="11" t="inlineStr">
        <is>
          <t>Open</t>
        </is>
      </c>
    </row>
    <row r="16">
      <c r="A16" s="11" t="inlineStr">
        <is>
          <t>BrightSideCarwash-backend</t>
        </is>
      </c>
      <c r="B16" s="11" t="inlineStr">
        <is>
          <t>OPS-005</t>
        </is>
      </c>
      <c r="C16" s="11" t="inlineStr">
        <is>
          <t>DevOps / CI/CD / Deployment</t>
        </is>
      </c>
      <c r="D16" s="11" t="inlineStr">
        <is>
          <t>CI/CD Pipeline Defects</t>
        </is>
      </c>
      <c r="E16" s="11" t="inlineStr">
        <is>
          <t>Defect</t>
        </is>
      </c>
      <c r="F16" s="9" t="inlineStr">
        <is>
          <t>Deploy workflow ships main straight to production, ignoring the monorepo layout and without gates</t>
        </is>
      </c>
      <c r="G16" s="9" t="inlineStr">
        <is>
          <t>deploy.yml has no test, lint, build or audit stage and deploys on every push to main via a self-hosted runner. Path assumptions predate the move to apps/nest-app: the `yarn install` step runs in the checkout root (no package.json there) while later steps operate in /var/www/backend and run `git reset --hard origin/main` on the server, then `yarn install` without --frozen-lockfile, `prisma migrate deploy` before a build that may fail, and finally `pm2 stop/delete` (downtime, no rollback or health check). The Django app is not deployed by CI at all. actions/checkout@v3 is outdated and DATABASE_URL is echoed into GITHUB_ENV.</t>
        </is>
      </c>
      <c r="H16" s="12" t="inlineStr">
        <is>
          <t>- name: Install dependencies
  run: |
    yarn install</t>
        </is>
      </c>
      <c r="I16" s="11" t="inlineStr">
        <is>
          <t>High</t>
        </is>
      </c>
      <c r="J16" s="11" t="inlineStr">
        <is>
          <t>High</t>
        </is>
      </c>
      <c r="K16" s="11" t="inlineStr">
        <is>
          <t>Medium</t>
        </is>
      </c>
      <c r="L16" s="11" t="inlineStr">
        <is>
          <t>M</t>
        </is>
      </c>
      <c r="M16" s="11" t="inlineStr">
        <is>
          <t>Yes</t>
        </is>
      </c>
      <c r="N16" s="11" t="inlineStr">
        <is>
          <t>CI/CD &amp; Containers</t>
        </is>
      </c>
      <c r="O16" s="11" t="inlineStr">
        <is>
          <t>.github/workflows/deploy.yml</t>
        </is>
      </c>
      <c r="P16" s="11" t="inlineStr">
        <is>
          <t>25-27</t>
        </is>
      </c>
      <c r="Q16" s="9" t="inlineStr">
        <is>
          <t>.github/workflows/deploy.yml:19
.github/workflows/deploy.yml:37
.github/workflows/deploy.yml:48
.github/workflows/deploy.yml:13</t>
        </is>
      </c>
      <c r="R16" s="11" t="n">
        <v>5</v>
      </c>
      <c r="S16" s="9" t="inlineStr">
        <is>
          <t>Deployments may fail or run stale code; a bad commit reaches production without tests; a failed build after migration leaves DB and code out of sync. Confidence Medium: server layout (/var/www/backend) is outside the repo.</t>
        </is>
      </c>
      <c r="T16" s="9" t="inlineStr">
        <is>
          <t>Add a CI job (lint, unit tests, `yarn build`, `yarn audit --groups dependencies`, `prisma validate`) that must pass before deploy; set working-directory: apps/nest-app; use `yarn install --frozen-lockfile`; build before migrating; use `pm2 reload` plus a health check and automatic rollback; add a Django pipeline; update checkout action.</t>
        </is>
      </c>
      <c r="U16" s="9" t="inlineStr">
        <is>
          <t>Read the latest Actions run for the repo to see where `yarn install` executes; diff /var/www/backend structure against the repository.</t>
        </is>
      </c>
      <c r="V16" s="9" t="inlineStr">
        <is>
          <t>OWASP CI/CD Security Top 10 (CICD-SEC-1, -4)</t>
        </is>
      </c>
      <c r="W16" s="11" t="n"/>
      <c r="X16" s="11" t="inlineStr">
        <is>
          <t>Open</t>
        </is>
      </c>
    </row>
    <row r="17">
      <c r="A17" s="11" t="inlineStr">
        <is>
          <t>BrightSideCarwash-backend</t>
        </is>
      </c>
      <c r="B17" s="11" t="inlineStr">
        <is>
          <t>SEC-003</t>
        </is>
      </c>
      <c r="C17" s="11" t="inlineStr">
        <is>
          <t>Security</t>
        </is>
      </c>
      <c r="D17" s="11" t="inlineStr">
        <is>
          <t>Hard-coded Default Credentials</t>
        </is>
      </c>
      <c r="E17" s="11" t="inlineStr">
        <is>
          <t>Vulnerability</t>
        </is>
      </c>
      <c r="F17" s="9" t="inlineStr">
        <is>
          <t>Seed script creates admin/manager users with hard-coded fallback passwords on every start</t>
        </is>
      </c>
      <c r="G17" s="9" t="inlineStr">
        <is>
          <t>prisma/seed.ts falls back to a well-known admin password when SYSTEM_PASSWORD is unset and always creates manager@email.com with a fixed literal password (not configurable). docker-compose runs `yarn db:seed` on every container start, and .env.example leaves the system user variables empty. Accounts are created only if missing (upsert with empty update), so any fresh environment silently ships known credentials.</t>
        </is>
      </c>
      <c r="H17" s="12" t="inlineStr">
        <is>
          <t>const adminPassword = process.env.SYSTEM_PASSWORD || 'Admi****3!';
// ...
password: await hashPassword('Mana****3!'),   // manager@email.com, fixed literal</t>
        </is>
      </c>
      <c r="I17" s="11" t="inlineStr">
        <is>
          <t>High</t>
        </is>
      </c>
      <c r="J17" s="11" t="inlineStr">
        <is>
          <t>High</t>
        </is>
      </c>
      <c r="K17" s="11" t="inlineStr">
        <is>
          <t>High</t>
        </is>
      </c>
      <c r="L17" s="11" t="inlineStr">
        <is>
          <t>S</t>
        </is>
      </c>
      <c r="M17" s="11" t="inlineStr">
        <is>
          <t>Yes</t>
        </is>
      </c>
      <c r="N17" s="11" t="inlineStr">
        <is>
          <t>nest-app: Auth &amp; RBAC</t>
        </is>
      </c>
      <c r="O17" s="11" t="inlineStr">
        <is>
          <t>apps/nest-app/prisma/seed.ts</t>
        </is>
      </c>
      <c r="P17" s="11" t="inlineStr">
        <is>
          <t>21</t>
        </is>
      </c>
      <c r="Q17" s="9" t="inlineStr">
        <is>
          <t>apps/nest-app/prisma/seed.ts:75
apps/nest-app/docker-compose.yml:25</t>
        </is>
      </c>
      <c r="R17" s="11" t="n">
        <v>3</v>
      </c>
      <c r="S17" s="9" t="inlineStr">
        <is>
          <t>Anyone who knows the public repo defaults can log in as Admin/Manager on any environment that did not override the variables; leads and payment data are exposed.</t>
        </is>
      </c>
      <c r="T17" s="9" t="inlineStr">
        <is>
          <t>Fail the seed when SYSTEM_PASSWORD is missing; never create a manager user with a literal password (generate a random one and print it once or require env). Remove db:seed from the container start command; run it as a one-off job.</t>
        </is>
      </c>
      <c r="U17" s="9" t="inlineStr">
        <is>
          <t>Run the seed with SYSTEM_PASSWORD unset against a scratch database and attempt to log in with the fallback credentials (do not run against production).</t>
        </is>
      </c>
      <c r="V17" s="9" t="inlineStr">
        <is>
          <t>CWE-798, CWE-1392; OWASP API Top 10 2023 API2</t>
        </is>
      </c>
      <c r="W17" s="11" t="n"/>
      <c r="X17" s="11" t="inlineStr">
        <is>
          <t>Open</t>
        </is>
      </c>
    </row>
    <row r="18">
      <c r="A18" s="11" t="inlineStr">
        <is>
          <t>BrightSideCarwash-website-frontend</t>
        </is>
      </c>
      <c r="B18" s="11" t="inlineStr">
        <is>
          <t>API-001</t>
        </is>
      </c>
      <c r="C18" s="11" t="inlineStr">
        <is>
          <t>API Design</t>
        </is>
      </c>
      <c r="D18" s="11" t="inlineStr">
        <is>
          <t>Idempotency</t>
        </is>
      </c>
      <c r="E18" s="11" t="inlineStr">
        <is>
          <t>Risk</t>
        </is>
      </c>
      <c r="F18" s="9" t="inlineStr">
        <is>
          <t>Checkout POST has no idempotency key; ambiguous failures can double-charge</t>
        </is>
      </c>
      <c r="G18" s="9" t="inlineStr">
        <is>
          <t>checkoutBooking() posts the Square card token and booking to /appointments/checkout with no idempotency key and no client timeout. useCheckout treats any thrown error (including network timeout after the server already charged) as 'Payment failed', and CheckoutStep then releases the lock, re-locks the slot and re-enables the Pay button. A user retrying tokenizes a fresh card nonce, so the backend cannot de-duplicate on the nonce. Whether the backend de-duplicates by lockToken/cart is not visible from this repo.</t>
        </is>
      </c>
      <c r="H18" s="12" t="inlineStr">
        <is>
          <t>const { data } = await axios.post(`${API_BASE}/appointments/checkout`, params);
// CheckoutStep: else { if (lockToken) await release(...); await lock(...); }</t>
        </is>
      </c>
      <c r="I18" s="11" t="inlineStr">
        <is>
          <t>High</t>
        </is>
      </c>
      <c r="J18" s="11" t="inlineStr">
        <is>
          <t>High</t>
        </is>
      </c>
      <c r="K18" s="11" t="inlineStr">
        <is>
          <t>Medium</t>
        </is>
      </c>
      <c r="L18" s="11" t="inlineStr">
        <is>
          <t>M</t>
        </is>
      </c>
      <c r="M18" s="11" t="inlineStr">
        <is>
          <t>Yes</t>
        </is>
      </c>
      <c r="N18" s="11" t="inlineStr">
        <is>
          <t>Booking &amp; Checkout</t>
        </is>
      </c>
      <c r="O18" s="11" t="inlineStr">
        <is>
          <t>src/services/booking.api.ts</t>
        </is>
      </c>
      <c r="P18" s="11" t="inlineStr">
        <is>
          <t>63</t>
        </is>
      </c>
      <c r="Q18" s="9" t="inlineStr">
        <is>
          <t>src/components/pages/booking/CheckoutStep.tsx:127-141, 162-167; src/hooks/useCheckout.ts:24-35</t>
        </is>
      </c>
      <c r="R18" s="11" t="n">
        <v>3</v>
      </c>
      <c r="S18" s="9" t="inlineStr">
        <is>
          <t>A customer whose request times out after a successful charge may pay twice or hold a duplicate appointment. Direct financial and reputational impact on a payment path.</t>
        </is>
      </c>
      <c r="T18" s="9" t="inlineStr">
        <is>
          <t>Generate a per-attempt idempotency key (e.g. uuid stored with the cart/lock) and send it as an Idempotency-Key header; have the backend de-duplicate on it. On timeout/5xx, show 'confirming your booking' and poll a booking-status endpoint instead of re-locking and re-enabling payment. Set an axios timeout.</t>
        </is>
      </c>
      <c r="U18" s="9" t="inlineStr">
        <is>
          <t>Throttle network in DevTools, submit checkout, abort the response after the server processes it, click Pay again and observe a second charge/appointment. After fix, the second attempt with the same key must return the original result.</t>
        </is>
      </c>
      <c r="V18" s="9" t="inlineStr">
        <is>
          <t>OWASP API4:2023; CWE-841 (improper enforcement of behavioral workflow)</t>
        </is>
      </c>
      <c r="W18" s="11" t="inlineStr">
        <is>
          <t>ERR-001</t>
        </is>
      </c>
      <c r="X18" s="11" t="inlineStr">
        <is>
          <t>Open</t>
        </is>
      </c>
    </row>
    <row r="19">
      <c r="A19" s="11" t="inlineStr">
        <is>
          <t>BrightSideCarwash-backend</t>
        </is>
      </c>
      <c r="B19" s="11" t="inlineStr">
        <is>
          <t>ERR-001</t>
        </is>
      </c>
      <c r="C19" s="11" t="inlineStr">
        <is>
          <t>Error Handling &amp; Resilience</t>
        </is>
      </c>
      <c r="D19" s="11" t="inlineStr">
        <is>
          <t>Swallowed Exception (payment records)</t>
        </is>
      </c>
      <c r="E19" s="11" t="inlineStr">
        <is>
          <t>Defect</t>
        </is>
      </c>
      <c r="F19" s="9" t="inlineStr">
        <is>
          <t>Payment DB record failures and booking rollback failures are swallowed</t>
        </is>
      </c>
      <c r="G19" s="9" t="inlineStr">
        <is>
          <t>createPaymentRecord() catches every error and only logs it, so a successful Square charge can complete without a payments row (revenue and lead conversion tracking silently lose it) and the API still reports success. In the failure path the auto-cancel of a booking created before a declined payment is wrapped in an empty catch, leaving an orphan booking that blocks the slot; the same block then writes a 'TXN-FAIL' pseudo transaction id as if it were a real payment reference.</t>
        </is>
      </c>
      <c r="H19" s="12" t="inlineStr">
        <is>
          <t>this.logger.error('Failed to create payment record for lead:', err);</t>
        </is>
      </c>
      <c r="I19" s="11" t="inlineStr">
        <is>
          <t>Medium</t>
        </is>
      </c>
      <c r="J19" s="11" t="inlineStr">
        <is>
          <t>High</t>
        </is>
      </c>
      <c r="K19" s="11" t="inlineStr">
        <is>
          <t>High</t>
        </is>
      </c>
      <c r="L19" s="11" t="inlineStr">
        <is>
          <t>M</t>
        </is>
      </c>
      <c r="M19" s="11" t="inlineStr">
        <is>
          <t>No</t>
        </is>
      </c>
      <c r="N19" s="11" t="inlineStr">
        <is>
          <t>nest-app: Booking &amp; Payments (Square)</t>
        </is>
      </c>
      <c r="O19" s="11" t="inlineStr">
        <is>
          <t>apps/nest-app/src/modules/application/booking/squareup-booking.service.ts</t>
        </is>
      </c>
      <c r="P19" s="11" t="inlineStr">
        <is>
          <t>1342</t>
        </is>
      </c>
      <c r="Q19" s="9" t="inlineStr">
        <is>
          <t>apps/nest-app/src/modules/application/booking/squareup-booking.service.ts:868
apps/nest-app/src/modules/application/booking/squareup-booking.service.ts:872</t>
        </is>
      </c>
      <c r="R19" s="11" t="n">
        <v>3</v>
      </c>
      <c r="S19" s="9" t="inlineStr">
        <is>
          <t>Untracked money movements, orphan bookings, and unreconciled data; no alerting because errors are only logged. Priority High as it sits on the payment path.</t>
        </is>
      </c>
      <c r="T19" s="9" t="inlineStr">
        <is>
          <t>Persist an outbox/pending payment row before charging, update it after, alert (Sentry/pager) on any persistence or rollback failure, and add a reconciliation job against Square Payments API.</t>
        </is>
      </c>
      <c r="U19" s="9" t="inlineStr">
        <is>
          <t>Simulate a DB outage after payments.create in a sandbox test and observe HTTP 200 with no payments row.</t>
        </is>
      </c>
      <c r="V19" s="9" t="inlineStr">
        <is>
          <t>CWE-391 (Unchecked Error Condition)</t>
        </is>
      </c>
      <c r="W19" s="11" t="inlineStr">
        <is>
          <t>BUG-003</t>
        </is>
      </c>
      <c r="X19" s="11" t="inlineStr">
        <is>
          <t>Open</t>
        </is>
      </c>
    </row>
    <row r="20">
      <c r="A20" s="11" t="inlineStr">
        <is>
          <t>BrightSideCarwash-backend</t>
        </is>
      </c>
      <c r="B20" s="11" t="inlineStr">
        <is>
          <t>OBS-001</t>
        </is>
      </c>
      <c r="C20" s="11" t="inlineStr">
        <is>
          <t>Logging &amp; Monitoring</t>
        </is>
      </c>
      <c r="D20" s="11" t="inlineStr">
        <is>
          <t>Secrets in Logs</t>
        </is>
      </c>
      <c r="E20" s="11" t="inlineStr">
        <is>
          <t>Risk</t>
        </is>
      </c>
      <c r="F20" s="9" t="inlineStr">
        <is>
          <t>pino-http logs full request headers (Authorization, Cookie) with no redaction</t>
        </is>
      </c>
      <c r="G20" s="9" t="inlineStr">
        <is>
          <t>loggerConfig passes pinoHttp options with only level and transport; there is no redact list and no custom req serializer. pino-http's default request serializer includes request headers, so every request line written to stdout and to the daily log file (mounted at ./logs in docker-compose) contains the Bearer access token and refresh_token cookie. Combined with the non-expiring JWT bug this makes the log store a long-lived credential vault.</t>
        </is>
      </c>
      <c r="H20" s="12" t="inlineStr">
        <is>
          <t>pinoHttp: {
    level: 'info',
    transport: {</t>
        </is>
      </c>
      <c r="I20" s="11" t="inlineStr">
        <is>
          <t>Medium</t>
        </is>
      </c>
      <c r="J20" s="11" t="inlineStr">
        <is>
          <t>High</t>
        </is>
      </c>
      <c r="K20" s="11" t="inlineStr">
        <is>
          <t>Medium</t>
        </is>
      </c>
      <c r="L20" s="11" t="inlineStr">
        <is>
          <t>S</t>
        </is>
      </c>
      <c r="M20" s="11" t="inlineStr">
        <is>
          <t>No</t>
        </is>
      </c>
      <c r="N20" s="11" t="inlineStr">
        <is>
          <t>nest-app: Platform (config, storage, mail, notifications, logging, Prisma)</t>
        </is>
      </c>
      <c r="O20" s="11" t="inlineStr">
        <is>
          <t>apps/nest-app/src/logger.config.ts</t>
        </is>
      </c>
      <c r="P20" s="11" t="inlineStr">
        <is>
          <t>18-20</t>
        </is>
      </c>
      <c r="Q20" s="9" t="inlineStr">
        <is>
          <t>apps/nest-app/docker-compose.yml:15</t>
        </is>
      </c>
      <c r="R20" s="11" t="n">
        <v>2</v>
      </c>
      <c r="S20" s="9" t="inlineStr">
        <is>
          <t>Credential disclosure to anyone with log access (support, log shippers). Confidence Medium: default serializer behaviour was not runtime-verified. Priority is High (above Medium severity) because tokens do not expire (see JWT finding), which turns any log access into persistent account access.</t>
        </is>
      </c>
      <c r="T20" s="9" t="inlineStr">
        <is>
          <t>Add `redact: { paths: ['req.headers.authorization','req.headers.cookie','res.headers["set-cookie"]'], censor: '[REDACTED]' }` and log request ids only; rotate/limit log retention.</t>
        </is>
      </c>
      <c r="U20" s="9" t="inlineStr">
        <is>
          <t>Start the app, call any authenticated endpoint and inspect the log line for req.headers.authorization.</t>
        </is>
      </c>
      <c r="V20" s="9" t="inlineStr">
        <is>
          <t>CWE-532; OWASP Logging Cheat Sheet</t>
        </is>
      </c>
      <c r="W20" s="11" t="inlineStr">
        <is>
          <t>AUTH-003</t>
        </is>
      </c>
      <c r="X20" s="11" t="inlineStr">
        <is>
          <t>Open</t>
        </is>
      </c>
    </row>
    <row r="21">
      <c r="A21" s="11" t="inlineStr">
        <is>
          <t>BrightSideCarwash-backend</t>
        </is>
      </c>
      <c r="B21" s="11" t="inlineStr">
        <is>
          <t>SEC-002</t>
        </is>
      </c>
      <c r="C21" s="11" t="inlineStr">
        <is>
          <t>Security</t>
        </is>
      </c>
      <c r="D21" s="11" t="inlineStr">
        <is>
          <t>Unverified Webhook</t>
        </is>
      </c>
      <c r="E21" s="11" t="inlineStr">
        <is>
          <t>Vulnerability</t>
        </is>
      </c>
      <c r="F21" s="9" t="inlineStr">
        <is>
          <t>Brevo webhook accepts unauthenticated, unsigned events and stores raw payloads</t>
        </is>
      </c>
      <c r="G21" s="9" t="inlineStr">
        <is>
          <t>POST /api/webhooks/brevo has no guard, shared secret, IP allow-list or signature check. Anyone can forge delivery events (delivered/bounced/complaint) for any recipient and campaign id, flip DeliveryLog/EmailLog states, force campaigns to COMPLETED/FAILED via evaluateCampaignStatus, and persist arbitrary JSON into DeliveryLog.metaData. The full payload (recipient emails) is logged at debug level.</t>
        </is>
      </c>
      <c r="H21" s="12" t="inlineStr">
        <is>
          <t>@Post('brevo')
@HttpCode(HttpStatus.OK) // Always return a 200 OK immediately to stop Brevo retry workers
async handleBrevoWebhook(@Body() payload: any) {
  this.logger.debug(`Received Brevo Event Payload Data: ${JSON.stringify(payload)}`);</t>
        </is>
      </c>
      <c r="I21" s="11" t="inlineStr">
        <is>
          <t>Medium</t>
        </is>
      </c>
      <c r="J21" s="11" t="inlineStr">
        <is>
          <t>High</t>
        </is>
      </c>
      <c r="K21" s="11" t="inlineStr">
        <is>
          <t>High</t>
        </is>
      </c>
      <c r="L21" s="11" t="inlineStr">
        <is>
          <t>M</t>
        </is>
      </c>
      <c r="M21" s="11" t="inlineStr">
        <is>
          <t>No</t>
        </is>
      </c>
      <c r="N21" s="11" t="inlineStr">
        <is>
          <t>nest-app: Admin CRM (leads, campaigns, email, team, roles, reports)</t>
        </is>
      </c>
      <c r="O21" s="11" t="inlineStr">
        <is>
          <t>apps/nest-app/src/modules/admin/campaign/controllers/webhook.controller.ts</t>
        </is>
      </c>
      <c r="P21" s="11" t="inlineStr">
        <is>
          <t>153-156</t>
        </is>
      </c>
      <c r="Q21" s="9" t="inlineStr">
        <is>
          <t>apps/nest-app/src/modules/admin/campaign/controllers/webhook.controller.ts:108
apps/nest-app/src/modules/admin/campaign/controllers/webhook.controller.ts:156</t>
        </is>
      </c>
      <c r="R21" s="11" t="n">
        <v>3</v>
      </c>
      <c r="S21" s="9" t="inlineStr">
        <is>
          <t>Corrupted campaign reporting/email status, hidden bounces (leading to re-mailing suppressed addresses), and unbounded JSON writes. Public exposure raises priority to High.</t>
        </is>
      </c>
      <c r="T21" s="9" t="inlineStr">
        <is>
          <t>Protect the webhook with a secret in the URL/header configured in Brevo (Brevo supports custom headers/basic auth) verified with timingSafeEqual, restrict to Brevo IPs at the proxy, validate the payload with a DTO/zod schema, and stop persisting the raw body.</t>
        </is>
      </c>
      <c r="U21" s="9" t="inlineStr">
        <is>
          <t>`curl -X POST https://&lt;host&gt;/api/webhooks/brevo -H "Content-Type: application/json" -d '{"event":"hard_bounce","email":"victim@example.com"}'` returns processed:true for any known recipient/log.</t>
        </is>
      </c>
      <c r="V21" s="9" t="inlineStr">
        <is>
          <t>CWE-345, CWE-306; OWASP API Top 10 2023 API2/API10</t>
        </is>
      </c>
      <c r="W21" s="11" t="n"/>
      <c r="X21" s="11" t="inlineStr">
        <is>
          <t>Open</t>
        </is>
      </c>
    </row>
    <row r="22">
      <c r="A22" s="11" t="inlineStr">
        <is>
          <t>BrightSideCarwash-backend</t>
        </is>
      </c>
      <c r="B22" s="11" t="inlineStr">
        <is>
          <t>SEC-012</t>
        </is>
      </c>
      <c r="C22" s="11" t="inlineStr">
        <is>
          <t>Security</t>
        </is>
      </c>
      <c r="D22" s="11" t="inlineStr">
        <is>
          <t>Missing Rate Limiting / Resource Abuse</t>
        </is>
      </c>
      <c r="E22" s="11" t="inlineStr">
        <is>
          <t>Risk</t>
        </is>
      </c>
      <c r="F22" s="9" t="inlineStr">
        <is>
          <t>Public chat endpoint has no throttling, message size cap or history cap</t>
        </is>
      </c>
      <c r="G22" s="9" t="inlineStr">
        <is>
          <t>POST /api/v1/chat/ is anonymous (a session is created by supplying any email) and each message triggers an LLM classifier call, an embedding call, a vector search and a completion call. REST_FRAMEWORK defines no throttle classes anywhere, `message` is a CharField without max_length, and the complete JSONB history is re-sent to OpenAI on every turn and returned to the client. One client can burn OpenAI budget and exhaust the 3 sync gunicorn workers.</t>
        </is>
      </c>
      <c r="H22" s="12" t="inlineStr">
        <is>
          <t>message = serializers.CharField(allow_blank=False, trim_whitespace=True)</t>
        </is>
      </c>
      <c r="I22" s="11" t="inlineStr">
        <is>
          <t>Medium</t>
        </is>
      </c>
      <c r="J22" s="11" t="inlineStr">
        <is>
          <t>High</t>
        </is>
      </c>
      <c r="K22" s="11" t="inlineStr">
        <is>
          <t>High</t>
        </is>
      </c>
      <c r="L22" s="11" t="inlineStr">
        <is>
          <t>M</t>
        </is>
      </c>
      <c r="M22" s="11" t="inlineStr">
        <is>
          <t>No</t>
        </is>
      </c>
      <c r="N22" s="11" t="inlineStr">
        <is>
          <t>django-app: Chatbot &amp; Sessions</t>
        </is>
      </c>
      <c r="O22" s="11" t="inlineStr">
        <is>
          <t>apps/django-app/apps/chatbot/serializers.py</t>
        </is>
      </c>
      <c r="P22" s="11" t="inlineStr">
        <is>
          <t>6</t>
        </is>
      </c>
      <c r="Q22" s="9" t="inlineStr">
        <is>
          <t>apps/django-app/apps/chatbot/views.py:14
apps/django-app/apps/sessions/views.py:24
apps/django-app/config/settings.py:197</t>
        </is>
      </c>
      <c r="R22" s="11" t="n">
        <v>4</v>
      </c>
      <c r="S22" s="9" t="inlineStr">
        <is>
          <t>Denial of wallet and denial of service on the chatbot; priority High because it is public and directly costs money.</t>
        </is>
      </c>
      <c r="T22" s="9" t="inlineStr">
        <is>
          <t>Add DRF throttling (AnonRateThrottle + per-session scoped throttle), max_length (e.g. 1000) on message/name, truncate history to the last N turns/tokens, cap messages per session, and add an OpenAI spend limit.</t>
        </is>
      </c>
      <c r="U22" s="9" t="inlineStr">
        <is>
          <t>Loop 200 POST /api/v1/chat/ requests with a valid session id and observe no 429 and rising OpenAI usage.</t>
        </is>
      </c>
      <c r="V22" s="9" t="inlineStr">
        <is>
          <t>CWE-770; OWASP API Top 10 2023 API4</t>
        </is>
      </c>
      <c r="W22" s="11" t="inlineStr">
        <is>
          <t>AUTH-001</t>
        </is>
      </c>
      <c r="X22" s="11" t="inlineStr">
        <is>
          <t>Open</t>
        </is>
      </c>
    </row>
    <row r="23">
      <c r="A23" s="11" t="inlineStr">
        <is>
          <t>BrightSideCarwash-website-frontend</t>
        </is>
      </c>
      <c r="B23" s="11" t="inlineStr">
        <is>
          <t>TEST-001</t>
        </is>
      </c>
      <c r="C23" s="11" t="inlineStr">
        <is>
          <t>Testing</t>
        </is>
      </c>
      <c r="D23" s="11" t="inlineStr">
        <is>
          <t>No Automated Tests</t>
        </is>
      </c>
      <c r="E23" s="11" t="inlineStr">
        <is>
          <t>Risk</t>
        </is>
      </c>
      <c r="F23" s="9" t="inlineStr">
        <is>
          <t>No automated tests for booking, payment, locking or chat flows</t>
        </is>
      </c>
      <c r="G23" s="9" t="inlineStr">
        <is>
          <t>Searched the tracked files for test/spec/__tests__/e2e/jest/vitest/playwright/cypress: no test files, no test framework in devDependencies and no test script. The slot-locking, checkout and timezone logic (the revenue-critical paths) have no regression protection. Severity Medium, Priority High because the flow handles real card payments and the code already shows date/lock defects.</t>
        </is>
      </c>
      <c r="H23" s="12" t="inlineStr">
        <is>
          <t>"scripts": { "dev", "build", "start", "lint" }   // no test script; 0 test files in 286 tracked files</t>
        </is>
      </c>
      <c r="I23" s="11" t="inlineStr">
        <is>
          <t>Medium</t>
        </is>
      </c>
      <c r="J23" s="11" t="inlineStr">
        <is>
          <t>High</t>
        </is>
      </c>
      <c r="K23" s="11" t="inlineStr">
        <is>
          <t>High</t>
        </is>
      </c>
      <c r="L23" s="11" t="inlineStr">
        <is>
          <t>XL</t>
        </is>
      </c>
      <c r="M23" s="11" t="inlineStr">
        <is>
          <t>No</t>
        </is>
      </c>
      <c r="N23" s="11" t="inlineStr">
        <is>
          <t>Booking &amp; Checkout</t>
        </is>
      </c>
      <c r="O23" s="11" t="inlineStr">
        <is>
          <t>package.json</t>
        </is>
      </c>
      <c r="P23" s="11" t="inlineStr">
        <is>
          <t>5-10</t>
        </is>
      </c>
      <c r="Q23" s="9" t="inlineStr">
        <is>
          <t>src/hooks/useAvailableDates.ts; src/hooks/useBookingLock.ts; src/components/pages/booking/CheckoutStep.tsx</t>
        </is>
      </c>
      <c r="R23" s="11" t="n">
        <v>3</v>
      </c>
      <c r="S23" s="9" t="inlineStr">
        <is>
          <t>Regressions in booking and checkout go undetected; refactors (see ARCH-001) are risky.</t>
        </is>
      </c>
      <c r="T23" s="9" t="inlineStr">
        <is>
          <t>Add Vitest + Testing Library for hooks/utilities (date handling, lock lifecycle, validation) and Playwright happy-path E2E (mocked API, Square test nonce) for the booking flow.</t>
        </is>
      </c>
      <c r="U23" s="9" t="inlineStr">
        <is>
          <t>ls / grep for *.test.* and *.spec.*; run npm test (script missing).</t>
        </is>
      </c>
      <c r="V23" s="9" t="inlineStr">
        <is>
          <t>Testing pyramid</t>
        </is>
      </c>
      <c r="W23" s="11" t="n"/>
      <c r="X23" s="11" t="inlineStr">
        <is>
          <t>Open</t>
        </is>
      </c>
    </row>
    <row r="24">
      <c r="A24" s="11" t="inlineStr">
        <is>
          <t>BrightSideCarwash-AdminDashboard-frontend</t>
        </is>
      </c>
      <c r="B24" s="11" t="inlineStr">
        <is>
          <t>TEST-001</t>
        </is>
      </c>
      <c r="C24" s="11" t="inlineStr">
        <is>
          <t>Testing</t>
        </is>
      </c>
      <c r="D24" s="11" t="inlineStr">
        <is>
          <t>No automated tests</t>
        </is>
      </c>
      <c r="E24" s="11" t="inlineStr">
        <is>
          <t>Risk</t>
        </is>
      </c>
      <c r="F24" s="9" t="inlineStr">
        <is>
          <t>No test framework or tests for auth, RBAC, token refresh or money-related screens</t>
        </is>
      </c>
      <c r="G24" s="9" t="inlineStr">
        <is>
          <t>package.json has no test script, test runner, or testing-library dependency and the repo contains no *.test.*/*.spec.* files (searched with git ls-files and find). Critical logic - hasPermission wildcard matching, PermissionGuard route mapping, 401 refresh queue, ChatBubble sanitiser, payment table/export, lead pipeline drag-and-drop ranking (lexorank) - is untested.</t>
        </is>
      </c>
      <c r="H24" s="12" t="inlineStr">
        <is>
          <t>"scripts": { "dev": "next dev", "build": "next build", "start": "next start", "lint": "eslint" }</t>
        </is>
      </c>
      <c r="I24" s="11" t="inlineStr">
        <is>
          <t>High</t>
        </is>
      </c>
      <c r="J24" s="11" t="inlineStr">
        <is>
          <t>Medium</t>
        </is>
      </c>
      <c r="K24" s="11" t="inlineStr">
        <is>
          <t>High</t>
        </is>
      </c>
      <c r="L24" s="11" t="inlineStr">
        <is>
          <t>XL</t>
        </is>
      </c>
      <c r="M24" s="11" t="inlineStr">
        <is>
          <t>No</t>
        </is>
      </c>
      <c r="N24" s="11" t="inlineStr">
        <is>
          <t>Cross-cutting</t>
        </is>
      </c>
      <c r="O24" s="11" t="inlineStr">
        <is>
          <t>package.json</t>
        </is>
      </c>
      <c r="P24" s="11" t="inlineStr">
        <is>
          <t>5-10</t>
        </is>
      </c>
      <c r="Q24" s="9" t="inlineStr">
        <is>
          <t>src/lib/permissions.ts:136-165; src/utils/lexorank.ts; src/components/shared/PermissionGuard.tsx</t>
        </is>
      </c>
      <c r="R24" s="11" t="n">
        <v>4</v>
      </c>
      <c r="S24" s="9" t="inlineStr">
        <is>
          <t>Any change to permissions, token refresh or list/pagination logic can silently break access control or core workflows. Priority Medium because it is an enabling gap, not an active defect.</t>
        </is>
      </c>
      <c r="T24" s="9" t="inlineStr">
        <is>
          <t>Adopt Vitest + Testing Library + MSW; start with unit tests for hasPermission, getRequiredPermission, sanitizeHtml, lexorank, axios refresh queue; add Playwright smoke tests for login and RBAC.</t>
        </is>
      </c>
      <c r="U24" s="9" t="inlineStr">
        <is>
          <t>git ls-files | grep -Ei 'test|spec|__tests__' returns nothing.</t>
        </is>
      </c>
      <c r="V24" s="9" t="n"/>
      <c r="W24" s="11" t="inlineStr">
        <is>
          <t>OPS-002</t>
        </is>
      </c>
      <c r="X24" s="11" t="inlineStr">
        <is>
          <t>Open</t>
        </is>
      </c>
    </row>
    <row r="25">
      <c r="A25" s="11" t="inlineStr">
        <is>
          <t>BrightSideCarwash-backend</t>
        </is>
      </c>
      <c r="B25" s="11" t="inlineStr">
        <is>
          <t>AUTH-004</t>
        </is>
      </c>
      <c r="C25" s="11" t="inlineStr">
        <is>
          <t>Authentication &amp; Authorization</t>
        </is>
      </c>
      <c r="D25" s="11" t="inlineStr">
        <is>
          <t>Privilege Escalation</t>
        </is>
      </c>
      <c r="E25" s="11" t="inlineStr">
        <is>
          <t>Vulnerability</t>
        </is>
      </c>
      <c r="F25" s="9" t="inlineStr">
        <is>
          <t>Staff invite and role-assign endpoints can grant the protected "Super User" role</t>
        </is>
      </c>
      <c r="G25" s="9" t="inlineStr">
        <is>
          <t>createStaff() only checks that the requested role name exists, and changeMemberRolesByName() accepts any existing role names; assertNotSuperUser() protects only the configured super user as a *target*. Any holder of staff:invite or member:roles_update can therefore invite themselves an accomplice, or re-role an existing account, as "Super User" (which receives every permission at boot). There is no rule that a caller may only assign roles no more privileged than their own.</t>
        </is>
      </c>
      <c r="H25" s="12" t="inlineStr">
        <is>
          <t xml:space="preserve">  where: { name: role }
});
</t>
        </is>
      </c>
      <c r="I25" s="11" t="inlineStr">
        <is>
          <t>High</t>
        </is>
      </c>
      <c r="J25" s="11" t="inlineStr">
        <is>
          <t>Medium</t>
        </is>
      </c>
      <c r="K25" s="11" t="inlineStr">
        <is>
          <t>High</t>
        </is>
      </c>
      <c r="L25" s="11" t="inlineStr">
        <is>
          <t>M</t>
        </is>
      </c>
      <c r="M25" s="11" t="inlineStr">
        <is>
          <t>Yes</t>
        </is>
      </c>
      <c r="N25" s="11" t="inlineStr">
        <is>
          <t>nest-app: Auth &amp; RBAC</t>
        </is>
      </c>
      <c r="O25" s="11" t="inlineStr">
        <is>
          <t>apps/nest-app/src/modules/auth/auth.service.ts</t>
        </is>
      </c>
      <c r="P25" s="11" t="inlineStr">
        <is>
          <t>569-571</t>
        </is>
      </c>
      <c r="Q25" s="9" t="inlineStr">
        <is>
          <t>apps/nest-app/src/modules/admin/team/team.service.ts:154
apps/nest-app/src/modules/auth/auth.controller.ts:222</t>
        </is>
      </c>
      <c r="R25" s="11" t="n">
        <v>3</v>
      </c>
      <c r="S25" s="9" t="inlineStr">
        <is>
          <t>Delegated administrators (e.g. a manager given invite rights) can become full super users, defeating least privilege and the audit trail. Priority Medium because it needs an already-privileged permission.</t>
        </is>
      </c>
      <c r="T25" s="9" t="inlineStr">
        <is>
          <t>Reject assignment of SYSTEM_SUPER_USER_ROLE_NAME (and optionally Admin) unless the caller already holds it; compute the caller permission set and forbid granting permissions the caller lacks. Add tests for both endpoints.</t>
        </is>
      </c>
      <c r="U25" s="9" t="inlineStr">
        <is>
          <t>Log in as a user whose role has staff:invite only; POST /api/auth/invite-staff with {"role":"Super User", ...}. It currently succeeds; expected 403.</t>
        </is>
      </c>
      <c r="V25" s="9" t="inlineStr">
        <is>
          <t>CWE-269; OWASP API Top 10 2023 API5</t>
        </is>
      </c>
      <c r="W25" s="11" t="n"/>
      <c r="X25" s="11" t="inlineStr">
        <is>
          <t>Open</t>
        </is>
      </c>
    </row>
    <row r="26">
      <c r="A26" s="11" t="inlineStr">
        <is>
          <t>BrightSideCarwash-backend</t>
        </is>
      </c>
      <c r="B26" s="11" t="inlineStr">
        <is>
          <t>AUTH-008</t>
        </is>
      </c>
      <c r="C26" s="11" t="inlineStr">
        <is>
          <t>Authentication &amp; Authorization</t>
        </is>
      </c>
      <c r="D26" s="11" t="inlineStr">
        <is>
          <t>Brute Force / Password Reset</t>
        </is>
      </c>
      <c r="E26" s="11" t="inlineStr">
        <is>
          <t>Vulnerability</t>
        </is>
      </c>
      <c r="F26" s="9" t="inlineStr">
        <is>
          <t>Password-reset OTP can be guessed without attempt limiting</t>
        </is>
      </c>
      <c r="G26" s="9" t="inlineStr">
        <is>
          <t>resetPasswordWithOtp() compares the submitted 6-digit OTP with the Redis value with no failed-attempt counter (the counter and lockout exist only in verifyForgotPasswordOtp, which the reset step does not require). The only brake is the global IP throttler (100 requests/min in production) against a 900,000 value space; an attacker can request fresh OTPs repeatedly (3 minute validity) and distribute guesses. The OTP is stored in Redis in clear text and compared with !== (not constant time). The verify endpoint also lets an attacker burn a victim's OTP by submitting 5 wrong codes.</t>
        </is>
      </c>
      <c r="H26" s="12" t="inlineStr">
        <is>
          <t>if (storedOtp !== otp) {
  throw new BadRequestException('Invalid or expired OTP');
}</t>
        </is>
      </c>
      <c r="I26" s="11" t="inlineStr">
        <is>
          <t>High</t>
        </is>
      </c>
      <c r="J26" s="11" t="inlineStr">
        <is>
          <t>Medium</t>
        </is>
      </c>
      <c r="K26" s="11" t="inlineStr">
        <is>
          <t>Medium</t>
        </is>
      </c>
      <c r="L26" s="11" t="inlineStr">
        <is>
          <t>S</t>
        </is>
      </c>
      <c r="M26" s="11" t="inlineStr">
        <is>
          <t>Yes</t>
        </is>
      </c>
      <c r="N26" s="11" t="inlineStr">
        <is>
          <t>nest-app: Auth &amp; RBAC</t>
        </is>
      </c>
      <c r="O26" s="11" t="inlineStr">
        <is>
          <t>apps/nest-app/src/modules/auth/auth.service.ts</t>
        </is>
      </c>
      <c r="P26" s="11" t="inlineStr">
        <is>
          <t>1010-1012</t>
        </is>
      </c>
      <c r="Q26" s="9" t="inlineStr">
        <is>
          <t>apps/nest-app/src/modules/auth/auth.service.ts:907
apps/nest-app/src/modules/auth/auth.controller.ts:648</t>
        </is>
      </c>
      <c r="R26" s="11" t="n">
        <v>3</v>
      </c>
      <c r="S26" s="9" t="inlineStr">
        <is>
          <t>Account takeover of any staff account (including administrators) by a determined, distributed attacker. Confidence is Medium because feasibility depends on throttler behaviour behind the proxy. Priority is Medium (below the High severity) because exploitation needs many guesses per OTP window and is limited by the IP throttler.</t>
        </is>
      </c>
      <c r="T26" s="9" t="inlineStr">
        <is>
          <t>Apply the same attempt counter/lockout in the reset step (shared key), store a hash of the OTP, compare with timingSafeEqual, invalidate on success, add per-email rate limiting on send-otp and reset endpoints, and issue a one-time reset token after successful verification instead of re-sending the OTP.</t>
        </is>
      </c>
      <c r="U26" s="9" t="inlineStr">
        <is>
          <t>Call POST /auth/forgot-password/send-otp then hammer POST /auth/forgot-password/reset-password with different otp values; no lockout occurs after 5 attempts (only global throttling applies).</t>
        </is>
      </c>
      <c r="V26" s="9" t="inlineStr">
        <is>
          <t>CWE-307, CWE-640; OWASP API Top 10 2023 API2</t>
        </is>
      </c>
      <c r="W26" s="11" t="n"/>
      <c r="X26" s="11" t="inlineStr">
        <is>
          <t>Open</t>
        </is>
      </c>
    </row>
    <row r="27">
      <c r="A27" s="11" t="inlineStr">
        <is>
          <t>BrightSideCarwash-website-frontend</t>
        </is>
      </c>
      <c r="B27" s="11" t="inlineStr">
        <is>
          <t>CFG-002</t>
        </is>
      </c>
      <c r="C27" s="11" t="inlineStr">
        <is>
          <t>Configuration &amp; Environment</t>
        </is>
      </c>
      <c r="D27" s="11" t="inlineStr">
        <is>
          <t>Insecure Default</t>
        </is>
      </c>
      <c r="E27" s="11" t="inlineStr">
        <is>
          <t>Risk</t>
        </is>
      </c>
      <c r="F27" s="9" t="inlineStr">
        <is>
          <t>Square defaults to the sandbox SDK when NEXT_PUBLIC_SQUARE_ENVIRONMENT is unset</t>
        </is>
      </c>
      <c r="G27" s="9" t="inlineStr">
        <is>
          <t>isProduction is true only when NEXT_PUBLIC_SQUARE_ENVIRONMENT === 'production'; otherwise the sandbox SDK URL is loaded and sandbox test cards are advertised in the UI. The local .env does not define this variable and uses a sandbox application id (redacted sand****ooiw). A production build lacking the variable would silently run the wrong payments environment.</t>
        </is>
      </c>
      <c r="H27" s="12" t="inlineStr">
        <is>
          <t>const isProduction = SQUARE_ENV === "production";
const SQUARE_SCRIPT_URL = isProduction ? "https://web.squarecdn.com/v1/square.js" : "https://sandbox.web.squarecdn.com/v1/square.js";</t>
        </is>
      </c>
      <c r="I27" s="11" t="inlineStr">
        <is>
          <t>High</t>
        </is>
      </c>
      <c r="J27" s="11" t="inlineStr">
        <is>
          <t>Medium</t>
        </is>
      </c>
      <c r="K27" s="11" t="inlineStr">
        <is>
          <t>Medium</t>
        </is>
      </c>
      <c r="L27" s="11" t="inlineStr">
        <is>
          <t>S</t>
        </is>
      </c>
      <c r="M27" s="11" t="inlineStr">
        <is>
          <t>Yes</t>
        </is>
      </c>
      <c r="N27" s="11" t="inlineStr">
        <is>
          <t>Booking &amp; Checkout</t>
        </is>
      </c>
      <c r="O27" s="11" t="inlineStr">
        <is>
          <t>src/components/pages/booking/SquarePaymentForm.tsx</t>
        </is>
      </c>
      <c r="P27" s="11" t="inlineStr">
        <is>
          <t>54-60</t>
        </is>
      </c>
      <c r="Q27" s="9" t="n"/>
      <c r="R27" s="11" t="n">
        <v>1</v>
      </c>
      <c r="S27" s="9" t="inlineStr">
        <is>
          <t>Failed real payments (core feature) after a deploy with a missing variable. Priority is Medium because the current .env clearly targets a non-production environment and the risk is confined to release configuration.</t>
        </is>
      </c>
      <c r="T27" s="9" t="inlineStr">
        <is>
          <t>Fail the build when NEXT_PUBLIC_SQUARE_ENVIRONMENT or APP_ID are absent, and derive the environment from a required variable rather than defaulting to sandbox.</t>
        </is>
      </c>
      <c r="U27" s="9" t="inlineStr">
        <is>
          <t>Build with NODE_ENV=production but without NEXT_PUBLIC_SQUARE_ENVIRONMENT; the checkout page loads sandbox.web.squarecdn.com.</t>
        </is>
      </c>
      <c r="V27" s="9" t="inlineStr">
        <is>
          <t>12-factor app: config; Square Web Payments SDK docs</t>
        </is>
      </c>
      <c r="W27" s="11" t="inlineStr">
        <is>
          <t>CFG-001</t>
        </is>
      </c>
      <c r="X27" s="11" t="inlineStr">
        <is>
          <t>Open</t>
        </is>
      </c>
    </row>
    <row r="28">
      <c r="A28" s="11" t="inlineStr">
        <is>
          <t>BrightSideCarwash-AdminDashboard-frontend</t>
        </is>
      </c>
      <c r="B28" s="11" t="inlineStr">
        <is>
          <t>ARCH-001</t>
        </is>
      </c>
      <c r="C28" s="11" t="inlineStr">
        <is>
          <t>Architecture &amp; Design</t>
        </is>
      </c>
      <c r="D28" s="11" t="inlineStr">
        <is>
          <t>RTK Query used without baseQuery</t>
        </is>
      </c>
      <c r="E28" s="11" t="inlineStr">
        <is>
          <t>Tech Debt</t>
        </is>
      </c>
      <c r="F28" s="9" t="inlineStr">
        <is>
          <t>24 RTK Query APIs use a dummy baseQuery and hand-rolled queryFn</t>
        </is>
      </c>
      <c r="G28" s="9" t="inlineStr">
        <is>
          <t>Every createApi declares baseQuery: async () =&gt; ({ data: null }) and implements each endpoint as a queryFn with its own try/catch and error mapping. This defeats RTK Query's central baseQuery (auth, re-auth, error normalisation, timeouts) and is the reason HTTP/error handling was copy-pasted per file (BUG-001, ERR-001). Error shapes differ per file (e.g. status hard-coded to 401/500/400 in auth.endpoints).</t>
        </is>
      </c>
      <c r="H28" s="12" t="inlineStr">
        <is>
          <t>export const galleryApi = createApi({
    reducerPath: 'galleryApi',
    baseQuery: async () =&gt; ({ data: null }),
    tagTypes: ['Gallery'],</t>
        </is>
      </c>
      <c r="I28" s="11" t="inlineStr">
        <is>
          <t>Medium</t>
        </is>
      </c>
      <c r="J28" s="11" t="inlineStr">
        <is>
          <t>Medium</t>
        </is>
      </c>
      <c r="K28" s="11" t="inlineStr">
        <is>
          <t>High</t>
        </is>
      </c>
      <c r="L28" s="11" t="inlineStr">
        <is>
          <t>XL</t>
        </is>
      </c>
      <c r="M28" s="11" t="inlineStr">
        <is>
          <t>No</t>
        </is>
      </c>
      <c r="N28" s="11" t="inlineStr">
        <is>
          <t>Data access layer</t>
        </is>
      </c>
      <c r="O28" s="11" t="inlineStr">
        <is>
          <t>src/services/gallery.api.ts</t>
        </is>
      </c>
      <c r="P28" s="11" t="inlineStr">
        <is>
          <t>26-29</t>
        </is>
      </c>
      <c r="Q28" s="9" t="inlineStr">
        <is>
          <t>24 files under src/services (grep 'baseQuery: async'); src/services/base-query.ts (unused axiosBaseQuery helper)</t>
        </is>
      </c>
      <c r="R28" s="11" t="n">
        <v>24</v>
      </c>
      <c r="S28" s="9" t="inlineStr">
        <is>
          <t>High cost to change auth/error behaviour; inconsistent errors; every new endpoint repeats boilerplate.</t>
        </is>
      </c>
      <c r="T28" s="9" t="inlineStr">
        <is>
          <t>Create one baseQueryWithReauth (axios or fetchBaseQuery) and convert endpoints to query/mutation definitions with transformResponse/transformErrorResponse; migrate incrementally per API.</t>
        </is>
      </c>
      <c r="U28" s="9" t="inlineStr">
        <is>
          <t>grep -rn 'baseQuery: async' src/services | wc -l</t>
        </is>
      </c>
      <c r="V28" s="9" t="inlineStr">
        <is>
          <t>RTK Query docs: Customizing Queries / Re-authorization</t>
        </is>
      </c>
      <c r="W28" s="11" t="inlineStr">
        <is>
          <t>BUG-001</t>
        </is>
      </c>
      <c r="X28" s="11" t="inlineStr">
        <is>
          <t>Open</t>
        </is>
      </c>
    </row>
    <row r="29">
      <c r="A29" s="11" t="inlineStr">
        <is>
          <t>BrightSideCarwash-AdminDashboard-frontend</t>
        </is>
      </c>
      <c r="B29" s="11" t="inlineStr">
        <is>
          <t>AUTH-002</t>
        </is>
      </c>
      <c r="C29" s="11" t="inlineStr">
        <is>
          <t>Authentication &amp; Authorization</t>
        </is>
      </c>
      <c r="D29" s="11" t="inlineStr">
        <is>
          <t>Weak edge protection (cookie presence only)</t>
        </is>
      </c>
      <c r="E29" s="11" t="inlineStr">
        <is>
          <t>Risk</t>
        </is>
      </c>
      <c r="F29" s="9" t="inlineStr">
        <is>
          <t>proxy.ts trusts mere cookie presence and its matcher omits several routes</t>
        </is>
      </c>
      <c r="G29" s="9" t="inlineStr">
        <is>
          <t>The Next.js proxy treats any non-empty 'accessToken' cookie as authenticated - the token is not verified or even decoded - and the matcher / PROTECTED_PREFIXES list omits /teams, /templates, /marketing, /notifications, /ai-chatbox. A forged cookie value passes the edge check for the protected prefixes, and the unlisted routes are never checked at the edge. Real protection therefore relies on client-side redirect (DashboardLayout) plus the backend. Page code is still shipped to unauthenticated visitors for the unlisted routes.</t>
        </is>
      </c>
      <c r="H29" s="12" t="inlineStr">
        <is>
          <t>const accessToken = request.cookies.get("accessToken")?.value;
const isAuthenticated = !!accessToken;
const PROTECTED_PREFIXES = ["/dashboard","/profile","/settings","/products","/leads","/payments","/campaigns","/staffs","/website-cms","/reports","/activity-log"];</t>
        </is>
      </c>
      <c r="I29" s="11" t="inlineStr">
        <is>
          <t>Medium</t>
        </is>
      </c>
      <c r="J29" s="11" t="inlineStr">
        <is>
          <t>Medium</t>
        </is>
      </c>
      <c r="K29" s="11" t="inlineStr">
        <is>
          <t>High</t>
        </is>
      </c>
      <c r="L29" s="11" t="inlineStr">
        <is>
          <t>S</t>
        </is>
      </c>
      <c r="M29" s="11" t="inlineStr">
        <is>
          <t>No</t>
        </is>
      </c>
      <c r="N29" s="11" t="inlineStr">
        <is>
          <t>Auth &amp; Session</t>
        </is>
      </c>
      <c r="O29" s="11" t="inlineStr">
        <is>
          <t>src/proxy.ts</t>
        </is>
      </c>
      <c r="P29" s="11" t="inlineStr">
        <is>
          <t>4-16</t>
        </is>
      </c>
      <c r="Q29" s="9" t="inlineStr">
        <is>
          <t>src/proxy.ts:31-51 (matcher); src/components/shared/DashboardLayout.tsx:47-52 (client-only redirect)</t>
        </is>
      </c>
      <c r="R29" s="11" t="n">
        <v>3</v>
      </c>
      <c r="S29" s="9" t="inlineStr">
        <is>
          <t>Unauthenticated users can load the JS shell for /teams, /templates, /marketing/*, /notifications, /ai-chatbox/*; the edge layer gives a false sense of security. Data is still gated by the API, so impact is limited to information disclosure of UI/code and confusing UX.</t>
        </is>
      </c>
      <c r="T29" s="9" t="inlineStr">
        <is>
          <t>Protect the whole (admin) group by default (matcher for everything except public paths/_next/static), and at minimum decode/verify token expiry at the edge. Derive PROTECTED_PREFIXES from the route groups instead of a hand-maintained list. Remove dead prefixes (/products, /staffs, /profile).</t>
        </is>
      </c>
      <c r="U29" s="9" t="inlineStr">
        <is>
          <t>curl -I https://&lt;host&gt;/teams with no cookies: returns 200 instead of a redirect to /login. Set cookie accessToken=x for /leads: proxy lets it through.</t>
        </is>
      </c>
      <c r="V29" s="9" t="inlineStr">
        <is>
          <t>CWE-306, CWE-602; OWASP A01:2021</t>
        </is>
      </c>
      <c r="W29" s="11" t="n"/>
      <c r="X29" s="11" t="inlineStr">
        <is>
          <t>Open</t>
        </is>
      </c>
    </row>
    <row r="30">
      <c r="A30" s="11" t="inlineStr">
        <is>
          <t>BrightSideCarwash-AdminDashboard-frontend</t>
        </is>
      </c>
      <c r="B30" s="11" t="inlineStr">
        <is>
          <t>BUG-002</t>
        </is>
      </c>
      <c r="C30" s="11" t="inlineStr">
        <is>
          <t>Bug / Correctness</t>
        </is>
      </c>
      <c r="D30" s="11" t="inlineStr">
        <is>
          <t>Logout does not revoke session</t>
        </is>
      </c>
      <c r="E30" s="11" t="inlineStr">
        <is>
          <t>Defect</t>
        </is>
      </c>
      <c r="F30" s="9" t="inlineStr">
        <is>
          <t>Logout decodes JWT with atob and can fail silently, leaving server session alive</t>
        </is>
      </c>
      <c r="G30" s="9" t="inlineStr">
        <is>
          <t>logout() base64-decodes the JWT payload with atob(token.split('.')[1]). JWT segments are base64url (may contain '-' and '_' and lack padding), so atob can throw for some payloads; the exception is swallowed by useAuth.logout's catch, and only local cookies are cleared. The server session and refresh token remain valid. When the access token cookie is already missing the function returns without calling the API at all.</t>
        </is>
      </c>
      <c r="H30" s="12" t="inlineStr">
        <is>
          <t>const token = getAccessToken();
if (!token) return;
const payload = JSON.parse(atob(token.split(".")[1]));
const sessionId = payload.sessionId;
await axiosInstance.post("/auth/logout", { sessionId });</t>
        </is>
      </c>
      <c r="I30" s="11" t="inlineStr">
        <is>
          <t>Medium</t>
        </is>
      </c>
      <c r="J30" s="11" t="inlineStr">
        <is>
          <t>Medium</t>
        </is>
      </c>
      <c r="K30" s="11" t="inlineStr">
        <is>
          <t>Medium</t>
        </is>
      </c>
      <c r="L30" s="11" t="inlineStr">
        <is>
          <t>S</t>
        </is>
      </c>
      <c r="M30" s="11" t="inlineStr">
        <is>
          <t>No</t>
        </is>
      </c>
      <c r="N30" s="11" t="inlineStr">
        <is>
          <t>Auth &amp; Session</t>
        </is>
      </c>
      <c r="O30" s="11" t="inlineStr">
        <is>
          <t>src/services/auth.service.ts</t>
        </is>
      </c>
      <c r="P30" s="11" t="inlineStr">
        <is>
          <t>50-56</t>
        </is>
      </c>
      <c r="Q30" s="9" t="inlineStr">
        <is>
          <t>src/hooks/useAuth.ts:132-143 (catch swallows, comment '// cleanup anyway')</t>
        </is>
      </c>
      <c r="R30" s="11" t="n">
        <v>2</v>
      </c>
      <c r="S30" s="9" t="inlineStr">
        <is>
          <t>Users believe they are logged out but the stolen/copied refresh token remains usable until server expiry (up to 7 days), which matters on shared workstations.</t>
        </is>
      </c>
      <c r="T30" s="9" t="inlineStr">
        <is>
          <t>Decode with a base64url-safe helper (replace -/_ and pad) inside try/catch, or let the backend derive the session from the bearer token / refresh token. Always attempt server logout with the refresh token even if the access token is missing/expired and surface failure to the user.</t>
        </is>
      </c>
      <c r="U30" s="9" t="inlineStr">
        <is>
          <t>Log in, take a token whose payload segment contains '-' or '_' (or an expired/absent access cookie), click logout; inspect Network - no /auth/logout request or exception in console, and the refresh token still works against /auth/refresh-tokens.</t>
        </is>
      </c>
      <c r="V30" s="9" t="inlineStr">
        <is>
          <t>CWE-613; OWASP ASVS 3.3.1</t>
        </is>
      </c>
      <c r="W30" s="11" t="n"/>
      <c r="X30" s="11" t="inlineStr">
        <is>
          <t>Open</t>
        </is>
      </c>
    </row>
    <row r="31">
      <c r="A31" s="11" t="inlineStr">
        <is>
          <t>BrightSideCarwash-AdminDashboard-frontend</t>
        </is>
      </c>
      <c r="B31" s="11" t="inlineStr">
        <is>
          <t>BUG-003</t>
        </is>
      </c>
      <c r="C31" s="11" t="inlineStr">
        <is>
          <t>Bug / Correctness</t>
        </is>
      </c>
      <c r="D31" s="11" t="inlineStr">
        <is>
          <t>Socket auth / reconnect churn</t>
        </is>
      </c>
      <c r="E31" s="11" t="inlineStr">
        <is>
          <t>Defect</t>
        </is>
      </c>
      <c r="F31" s="9" t="inlineStr">
        <is>
          <t>Notification socket reconnects on every window focus and sends token via ignored headers</t>
        </is>
      </c>
      <c r="G31" s="9" t="inlineStr">
        <is>
          <t>SocketProvider's effect depends on the 'user' object. useAuth registers a window 'focus' handler that calls getProfile and dispatches setUser with a brand-new object each time, so every focus event tears down and recreates the socket. The token is passed with extraHeaders, which browsers cannot set for the WebSocket transport (only honoured on HTTP long-polling), and it is captured once so a refreshed token is never used on reconnect. baseUrl derivation uses .replace('/api','') which mangles URLs containing '/api' elsewhere and falls back to http://localhost:4000.</t>
        </is>
      </c>
      <c r="H31" s="12" t="inlineStr">
        <is>
          <t>const socketInstance = io(`${baseUrl}/notifications`, {
  extraHeaders: { Authorization: `Bearer ${accessToken}` },
  autoConnect: true, reconnectionAttempts: 5 });
... }, [user]);</t>
        </is>
      </c>
      <c r="I31" s="11" t="inlineStr">
        <is>
          <t>Medium</t>
        </is>
      </c>
      <c r="J31" s="11" t="inlineStr">
        <is>
          <t>Medium</t>
        </is>
      </c>
      <c r="K31" s="11" t="inlineStr">
        <is>
          <t>Medium</t>
        </is>
      </c>
      <c r="L31" s="11" t="inlineStr">
        <is>
          <t>M</t>
        </is>
      </c>
      <c r="M31" s="11" t="inlineStr">
        <is>
          <t>No</t>
        </is>
      </c>
      <c r="N31" s="11" t="inlineStr">
        <is>
          <t>Notifications &amp; Realtime</t>
        </is>
      </c>
      <c r="O31" s="11" t="inlineStr">
        <is>
          <t>src/context/SocketContext.tsx</t>
        </is>
      </c>
      <c r="P31" s="11" t="inlineStr">
        <is>
          <t>47-53</t>
        </is>
      </c>
      <c r="Q31" s="9" t="inlineStr">
        <is>
          <t>src/context/SocketContext.tsx:17-19,69; src/hooks/useAuth.ts:49-81 (focus handler)</t>
        </is>
      </c>
      <c r="R31" s="11" t="n">
        <v>3</v>
      </c>
      <c r="S31" s="9" t="inlineStr">
        <is>
          <t>Missed or duplicated notifications, unnecessary server load (connect/disconnect per focus), realtime feature may not authenticate on WebSocket-only transport, hard-coded localhost fallback in production builds.</t>
        </is>
      </c>
      <c r="T31" s="9" t="inlineStr">
        <is>
          <t>Use socket.io 'auth: (cb) =&gt; cb({ token: getAccessToken() })' (or auth:{token}) instead of extraHeaders, key the effect on user?.id (or token) rather than the object, and reconnect only after a token refresh. Read the socket URL from a dedicated env var with startup validation.</t>
        </is>
      </c>
      <c r="U31" s="9" t="inlineStr">
        <is>
          <t>Open the app, watch Network &gt; WS/polling, switch to another window and back several times: a new /notifications connection is opened each time. Force transports:['websocket'] and observe missing Authorization.</t>
        </is>
      </c>
      <c r="V31" s="9" t="inlineStr">
        <is>
          <t>socket.io docs: Middlewares / auth option; React docs: useEffect dependencies</t>
        </is>
      </c>
      <c r="W31" s="11" t="n"/>
      <c r="X31" s="11" t="inlineStr">
        <is>
          <t>Open</t>
        </is>
      </c>
    </row>
    <row r="32">
      <c r="A32" s="11" t="inlineStr">
        <is>
          <t>BrightSideCarwash-AdminDashboard-frontend</t>
        </is>
      </c>
      <c r="B32" s="11" t="inlineStr">
        <is>
          <t>CFG-001</t>
        </is>
      </c>
      <c r="C32" s="11" t="inlineStr">
        <is>
          <t>Configuration &amp; Environment</t>
        </is>
      </c>
      <c r="D32" s="11" t="inlineStr">
        <is>
          <t>Build-time env inlining</t>
        </is>
      </c>
      <c r="E32" s="11" t="inlineStr">
        <is>
          <t>Risk</t>
        </is>
      </c>
      <c r="F32" s="9" t="inlineStr">
        <is>
          <t>All configuration is NEXT_PUBLIC build-time; compose env_file has no runtime effect</t>
        </is>
      </c>
      <c r="G32" s="9" t="inlineStr">
        <is>
          <t>API, storage, AI and mock-mode settings are NEXT_PUBLIC_* values inlined at 'next build'. The Dockerfile builds with 'COPY . .' so the build uses whatever .env is on disk (the .dockerignore does not exclude .env), while docker-compose's env_file only feeds runtime env which the browser bundle ignores. Config is not validated at startup: missing NEXT_PUBLIC_API_BASE_URL falls back to '/api', SocketContext falls back to http://localhost:4000, and image URLs concatenate an empty base.</t>
        </is>
      </c>
      <c r="H32" s="12" t="inlineStr">
        <is>
          <t>API_BASE_URL: process.env.NEXT_PUBLIC_API_BASE_URL || "/api",
...
: "http://localhost:4000";
env_file:
  - .env</t>
        </is>
      </c>
      <c r="I32" s="11" t="inlineStr">
        <is>
          <t>Medium</t>
        </is>
      </c>
      <c r="J32" s="11" t="inlineStr">
        <is>
          <t>Medium</t>
        </is>
      </c>
      <c r="K32" s="11" t="inlineStr">
        <is>
          <t>High</t>
        </is>
      </c>
      <c r="L32" s="11" t="inlineStr">
        <is>
          <t>M</t>
        </is>
      </c>
      <c r="M32" s="11" t="inlineStr">
        <is>
          <t>No</t>
        </is>
      </c>
      <c r="N32" s="11" t="inlineStr">
        <is>
          <t>Build &amp; Deploy Config</t>
        </is>
      </c>
      <c r="O32" s="11" t="inlineStr">
        <is>
          <t>docker-compose.yml</t>
        </is>
      </c>
      <c r="P32" s="11" t="inlineStr">
        <is>
          <t>11-12</t>
        </is>
      </c>
      <c r="Q32" s="9" t="inlineStr">
        <is>
          <t>Dockerfile:14 (COPY . .), .dockerignore:1-2; src/configs/app.config.ts:4; src/context/SocketContext.tsx:17-19; src/lib/image-url.ts:5; src/components/shared/Sidebar.tsx:16-18</t>
        </is>
      </c>
      <c r="R32" s="11" t="n">
        <v>6</v>
      </c>
      <c r="S32" s="9" t="inlineStr">
        <is>
          <t>Same image cannot be promoted across environments; wrong or missing env silently points production at /api or localhost; .env contents are baked into the image layer (currently only public URLs plus MOCK flag, no secrets found).</t>
        </is>
      </c>
      <c r="T32" s="9" t="inlineStr">
        <is>
          <t>Validate env with a schema at build (zod/envalid), pass values as Docker build args, add .env* to .dockerignore, and consider runtime config (server component/route reading process.env) if one image must serve multiple environments.</t>
        </is>
      </c>
      <c r="U32" s="9" t="inlineStr">
        <is>
          <t>Change .env after building and restart compose: browser bundle still uses the old value. docker history/inspect the image: .env is present in the COPY layer.</t>
        </is>
      </c>
      <c r="V32" s="9" t="inlineStr">
        <is>
          <t>Next.js docs: Environment Variables (NEXT_PUBLIC_ inlined at build); Twelve-Factor III</t>
        </is>
      </c>
      <c r="W32" s="11" t="n"/>
      <c r="X32" s="11" t="inlineStr">
        <is>
          <t>Open</t>
        </is>
      </c>
    </row>
    <row r="33">
      <c r="A33" s="11" t="inlineStr">
        <is>
          <t>BrightSideCarwash-AdminDashboard-frontend</t>
        </is>
      </c>
      <c r="B33" s="11" t="inlineStr">
        <is>
          <t>DEP-001</t>
        </is>
      </c>
      <c r="C33" s="11" t="inlineStr">
        <is>
          <t>Dependency Management</t>
        </is>
      </c>
      <c r="D33" s="11" t="inlineStr">
        <is>
          <t>Known CVEs (no fix available)</t>
        </is>
      </c>
      <c r="E33" s="11" t="inlineStr">
        <is>
          <t>Vulnerability</t>
        </is>
      </c>
      <c r="F33" s="9" t="inlineStr">
        <is>
          <t>xlsx 0.18.5 has known high-severity vulnerabilities with no npm fix</t>
        </is>
      </c>
      <c r="G33" s="9" t="inlineStr">
        <is>
          <t>npm audit (lockfile mode) reports xlsx as high: Prototype Pollution (GHSA-4r6h-8v6p-xvw6, CVE-2023-30533) and ReDoS (GHSA-5pgg-2g8v-p4x9, CVE-2024-22363). The npm registry package is unmaintained at 0.18.5; fixes exist only in SheetJS CDN builds. In this repo xlsx is used only for writing workbooks (aoa_to_sheet/writeFile), not parsing untrusted files, which greatly reduces reachability.</t>
        </is>
      </c>
      <c r="H33" s="12" t="inlineStr">
        <is>
          <t>"xlsx": "^0.18.5"   // npm audit: high, fixAvailable: false</t>
        </is>
      </c>
      <c r="I33" s="11" t="inlineStr">
        <is>
          <t>Medium</t>
        </is>
      </c>
      <c r="J33" s="11" t="inlineStr">
        <is>
          <t>Medium</t>
        </is>
      </c>
      <c r="K33" s="11" t="inlineStr">
        <is>
          <t>High</t>
        </is>
      </c>
      <c r="L33" s="11" t="inlineStr">
        <is>
          <t>M</t>
        </is>
      </c>
      <c r="M33" s="11" t="inlineStr">
        <is>
          <t>No</t>
        </is>
      </c>
      <c r="N33" s="11" t="inlineStr">
        <is>
          <t>Reporting &amp; Exports</t>
        </is>
      </c>
      <c r="O33" s="11" t="inlineStr">
        <is>
          <t>package.json</t>
        </is>
      </c>
      <c r="P33" s="11" t="inlineStr">
        <is>
          <t>50</t>
        </is>
      </c>
      <c r="Q33" s="9" t="inlineStr">
        <is>
          <t>src/lib/excel-export.ts:1</t>
        </is>
      </c>
      <c r="R33" s="11" t="n">
        <v>2</v>
      </c>
      <c r="S33" s="9" t="inlineStr">
        <is>
          <t>Both CVEs are triggered by parsing crafted files; exposure today is low. Severity follows reachability (write-only use) so it is Medium rather than High.</t>
        </is>
      </c>
      <c r="T33" s="9" t="inlineStr">
        <is>
          <t>Switch to the maintained SheetJS build (https://cdn.sheetjs.com tarball) or exceljs / server-side export; never use XLSX.read on user files.</t>
        </is>
      </c>
      <c r="U33" s="9" t="inlineStr">
        <is>
          <t>npm audit --package-lock-only; grep -rn "XLSX\." src.</t>
        </is>
      </c>
      <c r="V33" s="9" t="inlineStr">
        <is>
          <t>CVE-2023-30533, CVE-2024-22363, GHSA-4r6h-8v6p-xvw6, GHSA-5pgg-2g8v-p4x9</t>
        </is>
      </c>
      <c r="W33" s="11" t="n"/>
      <c r="X33" s="11" t="inlineStr">
        <is>
          <t>Open</t>
        </is>
      </c>
    </row>
    <row r="34">
      <c r="A34" s="11" t="inlineStr">
        <is>
          <t>BrightSideCarwash-AdminDashboard-frontend</t>
        </is>
      </c>
      <c r="B34" s="11" t="inlineStr">
        <is>
          <t>DEP-003</t>
        </is>
      </c>
      <c r="C34" s="11" t="inlineStr">
        <is>
          <t>Dependency Management</t>
        </is>
      </c>
      <c r="D34" s="11" t="inlineStr">
        <is>
          <t>Lockfile / install hygiene</t>
        </is>
      </c>
      <c r="E34" s="11" t="inlineStr">
        <is>
          <t>Risk</t>
        </is>
      </c>
      <c r="F34" s="9" t="inlineStr">
        <is>
          <t>Two lockfiles and installs forced with --force / --legacy-peer-deps</t>
        </is>
      </c>
      <c r="G34" s="9" t="inlineStr">
        <is>
          <t>Both package-lock.json and pnpm-lock.yaml (plus pnpm-workspace.yaml) are committed, so different environments can resolve different dependency trees. The Dockerfile uses 'npm install --force' (ignores the lockfile-first guarantee of npm ci, overrides peer conflicts) and Vercel uses '--legacy-peer-deps'. package.json 'overrides' for @tiptap only apply to npm, not pnpm. All versions use ^ ranges; eslint-config-next is pinned at 16.2.9 while next is ^16.3.0.</t>
        </is>
      </c>
      <c r="H34" s="12" t="inlineStr">
        <is>
          <t>RUN npm install --force
vercel.json: "installCommand": "npm install --legacy-peer-deps"</t>
        </is>
      </c>
      <c r="I34" s="11" t="inlineStr">
        <is>
          <t>Medium</t>
        </is>
      </c>
      <c r="J34" s="11" t="inlineStr">
        <is>
          <t>Medium</t>
        </is>
      </c>
      <c r="K34" s="11" t="inlineStr">
        <is>
          <t>High</t>
        </is>
      </c>
      <c r="L34" s="11" t="inlineStr">
        <is>
          <t>S</t>
        </is>
      </c>
      <c r="M34" s="11" t="inlineStr">
        <is>
          <t>No</t>
        </is>
      </c>
      <c r="N34" s="11" t="inlineStr">
        <is>
          <t>Build &amp; Deploy Config</t>
        </is>
      </c>
      <c r="O34" s="11" t="inlineStr">
        <is>
          <t>Dockerfile</t>
        </is>
      </c>
      <c r="P34" s="11" t="inlineStr">
        <is>
          <t>10-11</t>
        </is>
      </c>
      <c r="Q34" s="9" t="inlineStr">
        <is>
          <t>vercel.json:2; package-lock.json; pnpm-lock.yaml; pnpm-workspace.yaml; package.json:14-18 (overrides)</t>
        </is>
      </c>
      <c r="R34" s="11" t="n">
        <v>5</v>
      </c>
      <c r="S34" s="9" t="inlineStr">
        <is>
          <t>Non-reproducible builds, hidden peer-dependency conflicts (React 19.2/Tiptap/Next 16), inconsistent security patching.</t>
        </is>
      </c>
      <c r="T34" s="9" t="inlineStr">
        <is>
          <t>Choose one package manager, delete the other lockfile, use 'npm ci' in Docker/CI, resolve peer conflicts instead of forcing, and pin next/eslint-config-next together.</t>
        </is>
      </c>
      <c r="U34" s="9" t="inlineStr">
        <is>
          <t>git ls-files | grep -E 'lock|pnpm'; compare versions of a dependency in both lockfiles.</t>
        </is>
      </c>
      <c r="V34" s="9" t="inlineStr">
        <is>
          <t>npm docs: npm ci</t>
        </is>
      </c>
      <c r="W34" s="11" t="n"/>
      <c r="X34" s="11" t="inlineStr">
        <is>
          <t>Open</t>
        </is>
      </c>
    </row>
    <row r="35">
      <c r="A35" s="11" t="inlineStr">
        <is>
          <t>BrightSideCarwash-AdminDashboard-frontend</t>
        </is>
      </c>
      <c r="B35" s="11" t="inlineStr">
        <is>
          <t>ERR-001</t>
        </is>
      </c>
      <c r="C35" s="11" t="inlineStr">
        <is>
          <t>Error Handling &amp; Resilience</t>
        </is>
      </c>
      <c r="D35" s="11" t="inlineStr">
        <is>
          <t>Missing request timeouts</t>
        </is>
      </c>
      <c r="E35" s="11" t="inlineStr">
        <is>
          <t>Risk</t>
        </is>
      </c>
      <c r="F35" s="9" t="inlineStr">
        <is>
          <t>No timeout or abort handling on axios instance or any of 59 fetch calls</t>
        </is>
      </c>
      <c r="G35" s="9" t="inlineStr">
        <is>
          <t>axios.create() sets no timeout, the raw fetch helpers set none, and no AbortController is used anywhere (searched 'timeout' and 'AbortController' in src). A hung backend or the AI service leaves spinners indefinitely, and RTK Query mutations cannot be cancelled. The refresh call uses a separate bare axios.post also without timeout, and a stuck refresh keeps isRefreshing true so queued requests hang forever.</t>
        </is>
      </c>
      <c r="H35" s="12" t="inlineStr">
        <is>
          <t>const axiosInstance = axios.create({
	baseURL: APP_CONFIG.API_BASE_URL,
	withCredentials: false,
	headers: { 'Content-Type': 'application/json' },
});</t>
        </is>
      </c>
      <c r="I35" s="11" t="inlineStr">
        <is>
          <t>Medium</t>
        </is>
      </c>
      <c r="J35" s="11" t="inlineStr">
        <is>
          <t>Medium</t>
        </is>
      </c>
      <c r="K35" s="11" t="inlineStr">
        <is>
          <t>High</t>
        </is>
      </c>
      <c r="L35" s="11" t="inlineStr">
        <is>
          <t>M</t>
        </is>
      </c>
      <c r="M35" s="11" t="inlineStr">
        <is>
          <t>No</t>
        </is>
      </c>
      <c r="N35" s="11" t="inlineStr">
        <is>
          <t>Data access layer</t>
        </is>
      </c>
      <c r="O35" s="11" t="inlineStr">
        <is>
          <t>src/lib/axios-instance.ts</t>
        </is>
      </c>
      <c r="P35" s="11" t="inlineStr">
        <is>
          <t>24-28</t>
        </is>
      </c>
      <c r="Q35" s="9" t="inlineStr">
        <is>
          <t>src/lib/axios-instance.ts:82-87 (refresh call); all fetch() sites (BUG-001)</t>
        </is>
      </c>
      <c r="R35" s="11" t="n">
        <v>60</v>
      </c>
      <c r="S35" s="9" t="inlineStr">
        <is>
          <t>UI hangs and unbounded pending requests under backend degradation; stuck refresh deadlocks all authenticated calls until reload.</t>
        </is>
      </c>
      <c r="T35" s="9" t="inlineStr">
        <is>
          <t>Set a default timeout (e.g. 15-30s, longer for uploads) on axios and wrap fetch with AbortSignal.timeout; add a timeout to the refresh call and reject the queue on failure.</t>
        </is>
      </c>
      <c r="U35" s="9" t="inlineStr">
        <is>
          <t>Throttle/black-hole the API in DevTools (offline or a proxy that never answers) and observe never-ending loading state.</t>
        </is>
      </c>
      <c r="V35" s="9" t="inlineStr">
        <is>
          <t>CWE-400; Axios docs: timeout</t>
        </is>
      </c>
      <c r="W35" s="11" t="inlineStr">
        <is>
          <t>BUG-001</t>
        </is>
      </c>
      <c r="X35" s="11" t="inlineStr">
        <is>
          <t>Open</t>
        </is>
      </c>
    </row>
    <row r="36">
      <c r="A36" s="11" t="inlineStr">
        <is>
          <t>BrightSideCarwash-AdminDashboard-frontend</t>
        </is>
      </c>
      <c r="B36" s="11" t="inlineStr">
        <is>
          <t>OPS-001</t>
        </is>
      </c>
      <c r="C36" s="11" t="inlineStr">
        <is>
          <t>DevOps / CI/CD / Deployment</t>
        </is>
      </c>
      <c r="D36" s="11" t="inlineStr">
        <is>
          <t>Container hardening</t>
        </is>
      </c>
      <c r="E36" s="11" t="inlineStr">
        <is>
          <t>Improvement</t>
        </is>
      </c>
      <c r="F36" s="9" t="inlineStr">
        <is>
          <t>Dockerfile runs as root, single stage, unpinned base, no health check</t>
        </is>
      </c>
      <c r="G36" s="9" t="inlineStr">
        <is>
          <t>Image is 'node:24-alpine' (floating tag) built in one stage that keeps devDependencies, sources and build cache; no USER instruction so 'npm start' runs as root; no HEALTHCHECK; compose sets no resource limits, read-only FS or security options. .dockerignore only lists node_modules and dist (misses .git, .next, .env*, README).</t>
        </is>
      </c>
      <c r="H36" s="12" t="inlineStr">
        <is>
          <t>FROM node:24-alpine
COPY . .
CMD ["npm", "start"]
# no USER, no HEALTHCHECK</t>
        </is>
      </c>
      <c r="I36" s="11" t="inlineStr">
        <is>
          <t>Medium</t>
        </is>
      </c>
      <c r="J36" s="11" t="inlineStr">
        <is>
          <t>Medium</t>
        </is>
      </c>
      <c r="K36" s="11" t="inlineStr">
        <is>
          <t>High</t>
        </is>
      </c>
      <c r="L36" s="11" t="inlineStr">
        <is>
          <t>M</t>
        </is>
      </c>
      <c r="M36" s="11" t="inlineStr">
        <is>
          <t>No</t>
        </is>
      </c>
      <c r="N36" s="11" t="inlineStr">
        <is>
          <t>Build &amp; Deploy Config</t>
        </is>
      </c>
      <c r="O36" s="11" t="inlineStr">
        <is>
          <t>Dockerfile</t>
        </is>
      </c>
      <c r="P36" s="11" t="inlineStr">
        <is>
          <t>2-23</t>
        </is>
      </c>
      <c r="Q36" s="9" t="inlineStr">
        <is>
          <t>docker-compose.yml:1-14; .dockerignore:1-2</t>
        </is>
      </c>
      <c r="R36" s="11" t="n">
        <v>3</v>
      </c>
      <c r="S36" s="9" t="inlineStr">
        <is>
          <t>Container compromise gives root inside the container; larger attack surface and image size; .git history and .env copied into the build context.</t>
        </is>
      </c>
      <c r="T36" s="9" t="inlineStr">
        <is>
          <t>Use multi-stage build with 'output: standalone', pin the Node image by digest, add USER node, HEALTHCHECK, expand .dockerignore (.git, .next, .env*), and set resource limits in compose.</t>
        </is>
      </c>
      <c r="U36" s="9" t="inlineStr">
        <is>
          <t>docker run --rm &lt;image&gt; id shows uid=0; docker history shows large layers with source and .env.</t>
        </is>
      </c>
      <c r="V36" s="9" t="inlineStr">
        <is>
          <t>CIS Docker Benchmark 4.1, 4.6; Dockerfile best practices</t>
        </is>
      </c>
      <c r="W36" s="11" t="inlineStr">
        <is>
          <t>CFG-001</t>
        </is>
      </c>
      <c r="X36" s="11" t="inlineStr">
        <is>
          <t>Open</t>
        </is>
      </c>
    </row>
    <row r="37">
      <c r="A37" s="11" t="inlineStr">
        <is>
          <t>BrightSideCarwash-AdminDashboard-frontend</t>
        </is>
      </c>
      <c r="B37" s="11" t="inlineStr">
        <is>
          <t>OPS-002</t>
        </is>
      </c>
      <c r="C37" s="11" t="inlineStr">
        <is>
          <t>DevOps / CI/CD / Deployment</t>
        </is>
      </c>
      <c r="D37" s="11" t="inlineStr">
        <is>
          <t>No CI/CD pipeline</t>
        </is>
      </c>
      <c r="E37" s="11" t="inlineStr">
        <is>
          <t>Risk</t>
        </is>
      </c>
      <c r="F37" s="9" t="inlineStr">
        <is>
          <t>No CI configuration: no lint, type check, build, audit or test gate</t>
        </is>
      </c>
      <c r="G37" s="9" t="inlineStr">
        <is>
          <t>Repository has no .github/, .gitlab-ci.yml, Jenkinsfile or similar (searched repository root and git ls-files). The only automation is a Vercel install/build command and a Dockerfile. Nothing prevents merging code that fails 'next build', ESLint, or introduces vulnerable dependencies.</t>
        </is>
      </c>
      <c r="H37" s="12" t="inlineStr">
        <is>
          <t>ls -a: .dockerignore .env .git .gitignore AGENTS.md ... vercel.json   // no .github or CI file
vercel.json: { "installCommand": "npm install --legacy-peer-deps", "buildCommand": "next build" }</t>
        </is>
      </c>
      <c r="I37" s="11" t="inlineStr">
        <is>
          <t>Medium</t>
        </is>
      </c>
      <c r="J37" s="11" t="inlineStr">
        <is>
          <t>Medium</t>
        </is>
      </c>
      <c r="K37" s="11" t="inlineStr">
        <is>
          <t>High</t>
        </is>
      </c>
      <c r="L37" s="11" t="inlineStr">
        <is>
          <t>M</t>
        </is>
      </c>
      <c r="M37" s="11" t="inlineStr">
        <is>
          <t>No</t>
        </is>
      </c>
      <c r="N37" s="11" t="inlineStr">
        <is>
          <t>Build &amp; Deploy Config</t>
        </is>
      </c>
      <c r="O37" s="11" t="inlineStr">
        <is>
          <t>vercel.json</t>
        </is>
      </c>
      <c r="P37" s="11" t="inlineStr">
        <is>
          <t>1-4</t>
        </is>
      </c>
      <c r="Q37" s="9" t="inlineStr">
        <is>
          <t>package.json:5-10 (scripts: no test/typecheck)</t>
        </is>
      </c>
      <c r="R37" s="11" t="n">
        <v>2</v>
      </c>
      <c r="S37" s="9" t="inlineStr">
        <is>
          <t>Regressions and vulnerable dependencies reach production unnoticed.</t>
        </is>
      </c>
      <c r="T37" s="9" t="inlineStr">
        <is>
          <t>Add a CI workflow: npm ci, eslint, tsc --noEmit, next build, npm audit --omit=dev (fail on high), and tests (TEST-001); protect main with required checks.</t>
        </is>
      </c>
      <c r="U37" s="9" t="inlineStr">
        <is>
          <t>Open the repository on the git host: no workflows/pipelines.</t>
        </is>
      </c>
      <c r="V37" s="9" t="inlineStr">
        <is>
          <t>OWASP CI/CD Security Risks; SLSA</t>
        </is>
      </c>
      <c r="W37" s="11" t="inlineStr">
        <is>
          <t>TEST-001</t>
        </is>
      </c>
      <c r="X37" s="11" t="inlineStr">
        <is>
          <t>Open</t>
        </is>
      </c>
    </row>
    <row r="38">
      <c r="A38" s="11" t="inlineStr">
        <is>
          <t>BrightSideCarwash-AdminDashboard-frontend</t>
        </is>
      </c>
      <c r="B38" s="11" t="inlineStr">
        <is>
          <t>SEC-002</t>
        </is>
      </c>
      <c r="C38" s="11" t="inlineStr">
        <is>
          <t>Security</t>
        </is>
      </c>
      <c r="D38" s="11" t="inlineStr">
        <is>
          <t>XSS (custom HTML sanitizer)</t>
        </is>
      </c>
      <c r="E38" s="11" t="inlineStr">
        <is>
          <t>Risk</t>
        </is>
      </c>
      <c r="F38" s="9" t="inlineStr">
        <is>
          <t>Chat messages rendered via dangerouslySetInnerHTML after regex-based sanitizing</t>
        </is>
      </c>
      <c r="G38" s="9" t="inlineStr">
        <is>
          <t>ChatBubble renders chatbot/user message text as HTML using a hand-written regex sanitizer instead of an HTML parser/allow-list library. Tag handling is allow-list based and href is limited to http(s)/mailto, which is good, but regex sanitizers are a known source of bypasses (unbalanced quotes/angle brackets, entities, parser differentials) and non-tag text is passed through unescaped. Message content originates from an LLM/end-customer chat, i.e. untrusted input, and is displayed in the admin's authenticated session that holds JS-readable tokens (SEC-001). No concrete bypass was demonstrated in review.</t>
        </is>
      </c>
      <c r="H38" s="12" t="inlineStr">
        <is>
          <t>const sanitizeHtml = (text) =&gt; text.replace(/&lt;!--[\s\S]*?--&gt;|&lt;[^&gt;]*&gt;/g, (tag) =&gt; { ...allowedTags.has(...)
...
&lt;div dangerouslySetInnerHTML={{ __html: safeHtml }} /&gt;</t>
        </is>
      </c>
      <c r="I38" s="11" t="inlineStr">
        <is>
          <t>Medium</t>
        </is>
      </c>
      <c r="J38" s="11" t="inlineStr">
        <is>
          <t>Medium</t>
        </is>
      </c>
      <c r="K38" s="11" t="inlineStr">
        <is>
          <t>Low</t>
        </is>
      </c>
      <c r="L38" s="11" t="inlineStr">
        <is>
          <t>S</t>
        </is>
      </c>
      <c r="M38" s="11" t="inlineStr">
        <is>
          <t>No</t>
        </is>
      </c>
      <c r="N38" s="11" t="inlineStr">
        <is>
          <t>AI Chatbox</t>
        </is>
      </c>
      <c r="O38" s="11" t="inlineStr">
        <is>
          <t>src/components/pages/AiChatbox/ChatBubble.tsx</t>
        </is>
      </c>
      <c r="P38" s="11" t="inlineStr">
        <is>
          <t>27-46</t>
        </is>
      </c>
      <c r="Q38" s="9" t="inlineStr">
        <is>
          <t>src/components/pages/AiChatbox/ChatBubble.tsx:69 (sink)</t>
        </is>
      </c>
      <c r="R38" s="11" t="n">
        <v>2</v>
      </c>
      <c r="S38" s="9" t="inlineStr">
        <is>
          <t>If a bypass exists, a customer's chat message could execute script in an admin's session and steal tokens. Low confidence: needs fuzzing to confirm exploitability.</t>
        </is>
      </c>
      <c r="T38" s="9" t="inlineStr">
        <is>
          <t>Replace with DOMPurify (ALLOWED_TAGS/ALLOWED_ATTR limited to the same set, ALLOWED_URI_REGEXP for http/https/mailto) or render Markdown through a safe renderer; add unit tests with an XSS payload corpus.</t>
        </is>
      </c>
      <c r="U38" s="9" t="inlineStr">
        <is>
          <t>Send chat text containing malformed tags such as '&lt;a href="https://x" title="&gt;" onmouseover=alert(1)&gt;x&lt;/a&gt;' and variants from the OWASP XSS filter evasion sheet; inspect resulting DOM in ChatBubble.</t>
        </is>
      </c>
      <c r="V38" s="9" t="inlineStr">
        <is>
          <t>CWE-79, CWE-116; OWASP A03:2021; OWASP XSS Prevention Cheat Sheet</t>
        </is>
      </c>
      <c r="W38" s="11" t="n"/>
      <c r="X38" s="11" t="inlineStr">
        <is>
          <t>Open</t>
        </is>
      </c>
    </row>
    <row r="39">
      <c r="A39" s="11" t="inlineStr">
        <is>
          <t>BrightSideCarwash-AdminDashboard-frontend</t>
        </is>
      </c>
      <c r="B39" s="11" t="inlineStr">
        <is>
          <t>SEC-003</t>
        </is>
      </c>
      <c r="C39" s="11" t="inlineStr">
        <is>
          <t>Security</t>
        </is>
      </c>
      <c r="D39" s="11" t="inlineStr">
        <is>
          <t>Missing security headers / CSP</t>
        </is>
      </c>
      <c r="E39" s="11" t="inlineStr">
        <is>
          <t>Improvement</t>
        </is>
      </c>
      <c r="F39" s="9" t="inlineStr">
        <is>
          <t>No CSP, clickjacking or other security headers configured</t>
        </is>
      </c>
      <c r="G39" s="9" t="inlineStr">
        <is>
          <t>next.config.ts defines no headers() and vercel.json sets none; no middleware adds them (proxy.ts only redirects). Searched: next.config.ts, vercel.json, src/proxy.ts for 'headers', 'Content-Security-Policy', 'X-Frame-Options'. The admin panel can be framed (clickjacking) and has no CSP to limit XSS impact, while tokens are JS-readable (SEC-001).</t>
        </is>
      </c>
      <c r="H39" s="12" t="inlineStr">
        <is>
          <t>const nextConfig: NextConfig = {
  reactStrictMode: true,
  allowedDevOrigins: [...],
  images: {...},   // no async headers()</t>
        </is>
      </c>
      <c r="I39" s="11" t="inlineStr">
        <is>
          <t>Medium</t>
        </is>
      </c>
      <c r="J39" s="11" t="inlineStr">
        <is>
          <t>Medium</t>
        </is>
      </c>
      <c r="K39" s="11" t="inlineStr">
        <is>
          <t>High</t>
        </is>
      </c>
      <c r="L39" s="11" t="inlineStr">
        <is>
          <t>M</t>
        </is>
      </c>
      <c r="M39" s="11" t="inlineStr">
        <is>
          <t>No</t>
        </is>
      </c>
      <c r="N39" s="11" t="inlineStr">
        <is>
          <t>Build &amp; Deploy Config</t>
        </is>
      </c>
      <c r="O39" s="11" t="inlineStr">
        <is>
          <t>next.config.ts</t>
        </is>
      </c>
      <c r="P39" s="11" t="inlineStr">
        <is>
          <t>3-49</t>
        </is>
      </c>
      <c r="Q39" s="9" t="inlineStr">
        <is>
          <t>vercel.json:1-4</t>
        </is>
      </c>
      <c r="R39" s="11" t="n">
        <v>2</v>
      </c>
      <c r="S39" s="9" t="inlineStr">
        <is>
          <t>Weaker defense-in-depth against XSS, clickjacking, MIME sniffing and referrer leakage on an administrative application.</t>
        </is>
      </c>
      <c r="T39" s="9" t="inlineStr">
        <is>
          <t>Add headers() in next.config.ts: Content-Security-Policy (nonce-based, connect-src limited to API/AI/socket origins), X-Frame-Options/frame-ancestors 'none', X-Content-Type-Options nosniff, Referrer-Policy, Permissions-Policy, HSTS.</t>
        </is>
      </c>
      <c r="U39" s="9" t="inlineStr">
        <is>
          <t>curl -I on a deployed page and confirm the absence of the headers; use securityheaders.com.</t>
        </is>
      </c>
      <c r="V39" s="9" t="inlineStr">
        <is>
          <t>CWE-693, CWE-1021; OWASP A05:2021; OWASP Secure Headers Project</t>
        </is>
      </c>
      <c r="W39" s="11" t="n"/>
      <c r="X39" s="11" t="inlineStr">
        <is>
          <t>Open</t>
        </is>
      </c>
    </row>
    <row r="40">
      <c r="A40" s="11" t="inlineStr">
        <is>
          <t>BrightSideCarwash-AdminDashboard-frontend</t>
        </is>
      </c>
      <c r="B40" s="11" t="inlineStr">
        <is>
          <t>SEC-004</t>
        </is>
      </c>
      <c r="C40" s="11" t="inlineStr">
        <is>
          <t>Security</t>
        </is>
      </c>
      <c r="D40" s="11" t="inlineStr">
        <is>
          <t>CSV/Excel formula injection</t>
        </is>
      </c>
      <c r="E40" s="11" t="inlineStr">
        <is>
          <t>Vulnerability</t>
        </is>
      </c>
      <c r="F40" s="9" t="inlineStr">
        <is>
          <t>Exports write untrusted cell values without formula neutralisation</t>
        </is>
      </c>
      <c r="G40" s="9" t="inlineStr">
        <is>
          <t>exportToExcel writes lead/customer fields (names, notes, emails - originating from public web forms and chat) into worksheet cells as-is. Values starting with =, +, -, @ are stored as strings by SheetJS aoa_to_sheet but the CSV path (format 'csv' in useExportExcel / server CSV exports) and Excel's handling of text beginning with = via other paths can be interpreted as formulas when opened. No sanitising prefix (') is applied anywhere. Confidence is Medium because the CSV generation for server-side exports is out of scope.</t>
        </is>
      </c>
      <c r="H40" s="12" t="inlineStr">
        <is>
          <t>const rows = data.map((row) =&gt; columns.map((c) =&gt; row[c.key] ?? ""));
const worksheet = XLSX.utils.aoa_to_sheet([headers, ...rows]);
XLSX.writeFile(workbook, `${filename}.xlsx`);</t>
        </is>
      </c>
      <c r="I40" s="11" t="inlineStr">
        <is>
          <t>Medium</t>
        </is>
      </c>
      <c r="J40" s="11" t="inlineStr">
        <is>
          <t>Medium</t>
        </is>
      </c>
      <c r="K40" s="11" t="inlineStr">
        <is>
          <t>Medium</t>
        </is>
      </c>
      <c r="L40" s="11" t="inlineStr">
        <is>
          <t>S</t>
        </is>
      </c>
      <c r="M40" s="11" t="inlineStr">
        <is>
          <t>No</t>
        </is>
      </c>
      <c r="N40" s="11" t="inlineStr">
        <is>
          <t>Reporting &amp; Exports</t>
        </is>
      </c>
      <c r="O40" s="11" t="inlineStr">
        <is>
          <t>src/lib/excel-export.ts</t>
        </is>
      </c>
      <c r="P40" s="11" t="inlineStr">
        <is>
          <t>9-16</t>
        </is>
      </c>
      <c r="Q40" s="9" t="inlineStr">
        <is>
          <t>src/hooks/useExportExcel.ts:80; src/components/pages/leads/groups/GroupsContent.tsx:245; src/hooks/useExportCSV.ts (server CSV)</t>
        </is>
      </c>
      <c r="R40" s="11" t="n">
        <v>3</v>
      </c>
      <c r="S40" s="9" t="inlineStr">
        <is>
          <t>A hostile customer name such as =HYPERLINK(...) or DDE payload could run in a staff member's spreadsheet application, enabling data exfiltration or phishing.</t>
        </is>
      </c>
      <c r="T40" s="9" t="inlineStr">
        <is>
          <t>Prefix cells beginning with = + - @ tab or CR with a single quote (or set cell type to string 's' explicitly) before export; apply the same on the API for server-generated CSV.</t>
        </is>
      </c>
      <c r="U40" s="9" t="inlineStr">
        <is>
          <t>Create a lead with name '=1+1' via the public form or Add Lead, export CSV/Excel, open in Excel/LibreOffice: check whether cell is evaluated (CSV) or stored as text (xlsx).</t>
        </is>
      </c>
      <c r="V40" s="9" t="inlineStr">
        <is>
          <t>CWE-1236; OWASP CSV Injection</t>
        </is>
      </c>
      <c r="W40" s="11" t="n"/>
      <c r="X40" s="11" t="inlineStr">
        <is>
          <t>Open</t>
        </is>
      </c>
    </row>
    <row r="41">
      <c r="A41" s="11" t="inlineStr">
        <is>
          <t>BrightSideCarwash-backend</t>
        </is>
      </c>
      <c r="B41" s="11" t="inlineStr">
        <is>
          <t>AUTH-006</t>
        </is>
      </c>
      <c r="C41" s="11" t="inlineStr">
        <is>
          <t>Authentication &amp; Authorization</t>
        </is>
      </c>
      <c r="D41" s="11" t="inlineStr">
        <is>
          <t>Insecure Default (fail-open authorization model)</t>
        </is>
      </c>
      <c r="E41" s="11" t="inlineStr">
        <is>
          <t>Improvement</t>
        </is>
      </c>
      <c r="F41" s="9" t="inlineStr">
        <is>
          <t>Routes are public unless a guard is added; no default-deny</t>
        </is>
      </c>
      <c r="G41" s="9" t="inlineStr">
        <is>
          <t>The only global guards are OptionalJwtGuard (returns null user instead of rejecting) and the throttler. Each controller must remember to add JwtAuthGuard and @RequirePermission. This is the root cause of the unauthenticated dev/test endpoints and the permission-less admin controllers. The Django app has the same pattern (AllowAny default).</t>
        </is>
      </c>
      <c r="H41" s="12" t="inlineStr">
        <is>
          <t>export class OptionalJwtGuard extends AuthGuard('jwt') {
  handleRequest(err, user) {
    return user ?? null;
  }
}</t>
        </is>
      </c>
      <c r="I41" s="11" t="inlineStr">
        <is>
          <t>Medium</t>
        </is>
      </c>
      <c r="J41" s="11" t="inlineStr">
        <is>
          <t>Medium</t>
        </is>
      </c>
      <c r="K41" s="11" t="inlineStr">
        <is>
          <t>High</t>
        </is>
      </c>
      <c r="L41" s="11" t="inlineStr">
        <is>
          <t>L</t>
        </is>
      </c>
      <c r="M41" s="11" t="inlineStr">
        <is>
          <t>No</t>
        </is>
      </c>
      <c r="N41" s="11" t="inlineStr">
        <is>
          <t>nest-app: Auth &amp; RBAC</t>
        </is>
      </c>
      <c r="O41" s="11" t="inlineStr">
        <is>
          <t>apps/nest-app/src/app.module.ts</t>
        </is>
      </c>
      <c r="P41" s="11" t="inlineStr">
        <is>
          <t>37-41</t>
        </is>
      </c>
      <c r="Q41" s="9" t="inlineStr">
        <is>
          <t>apps/nest-app/src/app.module.ts:120
apps/nest-app/src/modules/auth/guards/permission.guard.ts:51
apps/django-app/config/settings.py:194</t>
        </is>
      </c>
      <c r="R41" s="11" t="n">
        <v>4</v>
      </c>
      <c r="S41" s="9" t="inlineStr">
        <is>
          <t>Any new controller is public by accident; already produced several High/Critical findings in this report.</t>
        </is>
      </c>
      <c r="T41" s="9" t="inlineStr">
        <is>
          <t>Register a global JwtAuthGuard and PermissionGuard (APP_GUARD) and mark intentionally public routes with an @Public() decorator (booking, quote, health, public content, login). Add a startup test that enumerates routes and fails if a route lacks either @Public or @RequirePermission. In Django use IsAuthenticated + custom admin permission as defaults.</t>
        </is>
      </c>
      <c r="U41" s="9" t="inlineStr">
        <is>
          <t>Enumerate routes (e.g. via Swagger JSON or a test using Nest router explorer) and confirm each non-public route rejects anonymous callers.</t>
        </is>
      </c>
      <c r="V41" s="9" t="inlineStr">
        <is>
          <t>OWASP ASVS 4.1 (access control design); OWASP API Top 10 2023 API5</t>
        </is>
      </c>
      <c r="W41" s="11" t="n"/>
      <c r="X41" s="11" t="inlineStr">
        <is>
          <t>Open</t>
        </is>
      </c>
    </row>
    <row r="42">
      <c r="A42" s="11" t="inlineStr">
        <is>
          <t>BrightSideCarwash-backend</t>
        </is>
      </c>
      <c r="B42" s="11" t="inlineStr">
        <is>
          <t>AUTH-007</t>
        </is>
      </c>
      <c r="C42" s="11" t="inlineStr">
        <is>
          <t>Authentication &amp; Authorization</t>
        </is>
      </c>
      <c r="D42" s="11" t="inlineStr">
        <is>
          <t>IDOR / Ownership Check Ordering</t>
        </is>
      </c>
      <c r="E42" s="11" t="inlineStr">
        <is>
          <t>Vulnerability</t>
        </is>
      </c>
      <c r="F42" s="9" t="inlineStr">
        <is>
          <t>Logout revokes another user's session before the ownership check</t>
        </is>
      </c>
      <c r="G42" s="9" t="inlineStr">
        <is>
          <t>POST /auth/logout passes a client-supplied sessionId to revokeRefreshToken(). The method writes `blacklist:&lt;sessionId&gt;` and deletes `refresh_token:&lt;sessionId&gt;` in Redis first and only afterwards runs prisma.userSession.delete({id, userId}) which throws for foreign sessions. The Redis side effects have already happened, so any authenticated user who learns another session id can force that user to be logged out (denial of service on another account's session). Session ids are cuid values, which limits practical exploitation.</t>
        </is>
      </c>
      <c r="H42" s="12" t="inlineStr">
        <is>
          <t>await this.invalidateSession(sessionId, DateHelper.generateFutureDate(appConfig().jwt.access_token_expiry || '7d').date.getTime() - new Date().getTime());
await this.redis.del(`refresh_token:${sessionId}`);
await this.prisma.userSession.delete({</t>
        </is>
      </c>
      <c r="I42" s="11" t="inlineStr">
        <is>
          <t>Medium</t>
        </is>
      </c>
      <c r="J42" s="11" t="inlineStr">
        <is>
          <t>Medium</t>
        </is>
      </c>
      <c r="K42" s="11" t="inlineStr">
        <is>
          <t>High</t>
        </is>
      </c>
      <c r="L42" s="11" t="inlineStr">
        <is>
          <t>S</t>
        </is>
      </c>
      <c r="M42" s="11" t="inlineStr">
        <is>
          <t>No</t>
        </is>
      </c>
      <c r="N42" s="11" t="inlineStr">
        <is>
          <t>nest-app: Auth &amp; RBAC</t>
        </is>
      </c>
      <c r="O42" s="11" t="inlineStr">
        <is>
          <t>apps/nest-app/src/modules/auth/auth.service.ts</t>
        </is>
      </c>
      <c r="P42" s="11" t="inlineStr">
        <is>
          <t>528-531</t>
        </is>
      </c>
      <c r="Q42" s="9" t="inlineStr">
        <is>
          <t>apps/nest-app/src/modules/auth/auth.controller.ts:387</t>
        </is>
      </c>
      <c r="R42" s="11" t="n">
        <v>2</v>
      </c>
      <c r="S42" s="9" t="inlineStr">
        <is>
          <t>Cross-user session termination; low confidentiality impact. Would be more severe if session ids leaked (logs include tokens).</t>
        </is>
      </c>
      <c r="T42" s="9" t="inlineStr">
        <is>
          <t>Verify ownership first (`findFirst({where:{id:sessionId,userId}})`), then perform Redis operations; do the DB delete and Redis changes in one ordered routine.</t>
        </is>
      </c>
      <c r="U42" s="9" t="inlineStr">
        <is>
          <t>User A logs in and gets session id SA; user B calls POST /auth/logout {"sessionId":"SA"}. Check Redis: refresh_token:SA deleted and blacklist:SA set although B receives 404.</t>
        </is>
      </c>
      <c r="V42" s="9" t="inlineStr">
        <is>
          <t>CWE-639 / CWE-863; OWASP API Top 10 2023 API1</t>
        </is>
      </c>
      <c r="W42" s="11" t="inlineStr">
        <is>
          <t>AUTH-003</t>
        </is>
      </c>
      <c r="X42" s="11" t="inlineStr">
        <is>
          <t>Open</t>
        </is>
      </c>
    </row>
    <row r="43">
      <c r="A43" s="11" t="inlineStr">
        <is>
          <t>BrightSideCarwash-backend</t>
        </is>
      </c>
      <c r="B43" s="11" t="inlineStr">
        <is>
          <t>AUTH-010</t>
        </is>
      </c>
      <c r="C43" s="11" t="inlineStr">
        <is>
          <t>Authentication &amp; Authorization</t>
        </is>
      </c>
      <c r="D43" s="11" t="inlineStr">
        <is>
          <t>Session Management</t>
        </is>
      </c>
      <c r="E43" s="11" t="inlineStr">
        <is>
          <t>Defect</t>
        </is>
      </c>
      <c r="F43" s="9" t="inlineStr">
        <is>
          <t>Password change/reset does not revoke existing sessions or refresh tokens</t>
        </is>
      </c>
      <c r="G43" s="9" t="inlineStr">
        <is>
          <t>changePassword(), resetPasswordWithOtp() and resetPassword() update the hash only. userSession rows, Redis refresh tokens and access tokens (effectively non-expiring, see JWT finding) remain valid, so a stolen session survives a password reset. Contrast with team.service.ts which does revoke sessions when roles change or a user is blocked.</t>
        </is>
      </c>
      <c r="H43" s="12" t="inlineStr">
        <is>
          <t>await this.userRepository.changePassword({
  email: normalizedEmail,
  password: newPassword,
});</t>
        </is>
      </c>
      <c r="I43" s="11" t="inlineStr">
        <is>
          <t>Medium</t>
        </is>
      </c>
      <c r="J43" s="11" t="inlineStr">
        <is>
          <t>Medium</t>
        </is>
      </c>
      <c r="K43" s="11" t="inlineStr">
        <is>
          <t>High</t>
        </is>
      </c>
      <c r="L43" s="11" t="inlineStr">
        <is>
          <t>S</t>
        </is>
      </c>
      <c r="M43" s="11" t="inlineStr">
        <is>
          <t>No</t>
        </is>
      </c>
      <c r="N43" s="11" t="inlineStr">
        <is>
          <t>nest-app: Auth &amp; RBAC</t>
        </is>
      </c>
      <c r="O43" s="11" t="inlineStr">
        <is>
          <t>apps/nest-app/src/modules/auth/auth.service.ts</t>
        </is>
      </c>
      <c r="P43" s="11" t="inlineStr">
        <is>
          <t>1014-1017</t>
        </is>
      </c>
      <c r="Q43" s="9" t="inlineStr">
        <is>
          <t>apps/nest-app/src/modules/auth/auth.service.ts:1231</t>
        </is>
      </c>
      <c r="R43" s="11" t="n">
        <v>2</v>
      </c>
      <c r="S43" s="9" t="inlineStr">
        <is>
          <t>Compromised accounts remain compromised after the user resets the password.</t>
        </is>
      </c>
      <c r="T43" s="9" t="inlineStr">
        <is>
          <t>After a successful change/reset, call the same session-revocation routine used in TeamService (blacklist session ids, delete refresh tokens, delete userSession rows), optionally keeping the current session on change-password.</t>
        </is>
      </c>
      <c r="U43" s="9" t="inlineStr">
        <is>
          <t>Login on device A, reset the password from device B; device A access/refresh tokens still work.</t>
        </is>
      </c>
      <c r="V43" s="9" t="inlineStr">
        <is>
          <t>CWE-613; OWASP ASVS 3.3</t>
        </is>
      </c>
      <c r="W43" s="11" t="inlineStr">
        <is>
          <t>AUTH-003</t>
        </is>
      </c>
      <c r="X43" s="11" t="inlineStr">
        <is>
          <t>Open</t>
        </is>
      </c>
    </row>
    <row r="44">
      <c r="A44" s="11" t="inlineStr">
        <is>
          <t>BrightSideCarwash-backend</t>
        </is>
      </c>
      <c r="B44" s="11" t="inlineStr">
        <is>
          <t>AUTH-011</t>
        </is>
      </c>
      <c r="C44" s="11" t="inlineStr">
        <is>
          <t>Authentication &amp; Authorization</t>
        </is>
      </c>
      <c r="D44" s="11" t="inlineStr">
        <is>
          <t>Weak Password Policy</t>
        </is>
      </c>
      <c r="E44" s="11" t="inlineStr">
        <is>
          <t>Vulnerability</t>
        </is>
      </c>
      <c r="F44" s="9" t="inlineStr">
        <is>
          <t>No password strength or length rules on set/change/reset</t>
        </is>
      </c>
      <c r="G44" s="9" t="inlineStr">
        <is>
          <t>Password DTOs only use @IsString/@IsNotEmpty (no MinLength, complexity or breached-password check) for the invited-staff set-password, change-password and OTP reset flows. Users can choose 1-character passwords for accounts that hold lead and payment data.</t>
        </is>
      </c>
      <c r="H44" s="12" t="inlineStr">
        <is>
          <t>new_password: string;</t>
        </is>
      </c>
      <c r="I44" s="11" t="inlineStr">
        <is>
          <t>Medium</t>
        </is>
      </c>
      <c r="J44" s="11" t="inlineStr">
        <is>
          <t>Medium</t>
        </is>
      </c>
      <c r="K44" s="11" t="inlineStr">
        <is>
          <t>High</t>
        </is>
      </c>
      <c r="L44" s="11" t="inlineStr">
        <is>
          <t>S</t>
        </is>
      </c>
      <c r="M44" s="11" t="inlineStr">
        <is>
          <t>No</t>
        </is>
      </c>
      <c r="N44" s="11" t="inlineStr">
        <is>
          <t>nest-app: Auth &amp; RBAC</t>
        </is>
      </c>
      <c r="O44" s="11" t="inlineStr">
        <is>
          <t>apps/nest-app/src/modules/auth/dto/change-password.dto.ts</t>
        </is>
      </c>
      <c r="P44" s="11" t="inlineStr">
        <is>
          <t>19</t>
        </is>
      </c>
      <c r="Q44" s="9" t="inlineStr">
        <is>
          <t>apps/nest-app/src/modules/auth/dto/reset-password-with-otp.dto.ts:28
apps/nest-app/src/modules/auth/dto/reset-password.dto.ts:29</t>
        </is>
      </c>
      <c r="R44" s="11" t="n">
        <v>3</v>
      </c>
      <c r="S44" s="9" t="inlineStr">
        <is>
          <t>Trivially guessable staff passwords; combined with enumeration and weak lockout raises takeover risk.</t>
        </is>
      </c>
      <c r="T44" s="9" t="inlineStr">
        <is>
          <t>Add @MinLength(12) (or 10), @MaxLength(72 for bcrypt) and a strength validator (zxcvbn or class-validator matches); consider haveibeenpwned k-anonymity check.</t>
        </is>
      </c>
      <c r="U44" s="9" t="inlineStr">
        <is>
          <t>POST /auth/change-password with new_password "a"; it is accepted.</t>
        </is>
      </c>
      <c r="V44" s="9" t="inlineStr">
        <is>
          <t>CWE-521; OWASP ASVS 2.1</t>
        </is>
      </c>
      <c r="W44" s="11" t="n"/>
      <c r="X44" s="11" t="inlineStr">
        <is>
          <t>Open</t>
        </is>
      </c>
    </row>
    <row r="45">
      <c r="A45" s="11" t="inlineStr">
        <is>
          <t>BrightSideCarwash-backend</t>
        </is>
      </c>
      <c r="B45" s="11" t="inlineStr">
        <is>
          <t>AUTH-012</t>
        </is>
      </c>
      <c r="C45" s="11" t="inlineStr">
        <is>
          <t>Authentication &amp; Authorization</t>
        </is>
      </c>
      <c r="D45" s="11" t="inlineStr">
        <is>
          <t>Hard-coded Verification Code</t>
        </is>
      </c>
      <c r="E45" s="11" t="inlineStr">
        <is>
          <t>Vulnerability</t>
        </is>
      </c>
      <c r="F45" s="9" t="inlineStr">
        <is>
          <t>Phone verification code is hard-coded to 000000</t>
        </is>
      </c>
      <c r="G45" s="9" t="inlineStr">
        <is>
          <t>createPhoneNumberVerificationToken() stores and returns the constant '000000' (the random generator is commented out). Any authenticated user can call send-phone-number-verification-code and then verify-phone-number with code 000000 to mark an arbitrary phone number as verified on their profile. The endpoints are hidden from Swagger but reachable.</t>
        </is>
      </c>
      <c r="H45" s="12" t="inlineStr">
        <is>
          <t>const token = '000000';</t>
        </is>
      </c>
      <c r="I45" s="11" t="inlineStr">
        <is>
          <t>Medium</t>
        </is>
      </c>
      <c r="J45" s="11" t="inlineStr">
        <is>
          <t>Medium</t>
        </is>
      </c>
      <c r="K45" s="11" t="inlineStr">
        <is>
          <t>High</t>
        </is>
      </c>
      <c r="L45" s="11" t="inlineStr">
        <is>
          <t>S</t>
        </is>
      </c>
      <c r="M45" s="11" t="inlineStr">
        <is>
          <t>No</t>
        </is>
      </c>
      <c r="N45" s="11" t="inlineStr">
        <is>
          <t>nest-app: Auth &amp; RBAC</t>
        </is>
      </c>
      <c r="O45" s="11" t="inlineStr">
        <is>
          <t>apps/nest-app/src/common/repository/ucode/ucode.repository.ts</t>
        </is>
      </c>
      <c r="P45" s="11" t="inlineStr">
        <is>
          <t>220</t>
        </is>
      </c>
      <c r="Q45" s="9" t="inlineStr">
        <is>
          <t>apps/nest-app/src/modules/auth/auth.controller.ts:581</t>
        </is>
      </c>
      <c r="R45" s="11" t="n">
        <v>2</v>
      </c>
      <c r="S45" s="9" t="inlineStr">
        <is>
          <t>Phone ownership checks are meaningless; any downstream feature relying on isPhoneVerified is untrustworthy.</t>
        </is>
      </c>
      <c r="T45" s="9" t="inlineStr">
        <is>
          <t>Use crypto.randomInt for the code, add attempt limiting and expiry checks, or remove the unused hidden endpoints.</t>
        </is>
      </c>
      <c r="U45" s="9" t="inlineStr">
        <is>
          <t>Authenticate, POST /auth/send-phone-number-verification-code {"phone":"+1 5555550100"} then POST /auth/verify-phone-number with code "000000".</t>
        </is>
      </c>
      <c r="V45" s="9" t="inlineStr">
        <is>
          <t>CWE-798, CWE-330</t>
        </is>
      </c>
      <c r="W45" s="11" t="n"/>
      <c r="X45" s="11" t="inlineStr">
        <is>
          <t>Open</t>
        </is>
      </c>
    </row>
    <row r="46">
      <c r="A46" s="11" t="inlineStr">
        <is>
          <t>BrightSideCarwash-backend</t>
        </is>
      </c>
      <c r="B46" s="11" t="inlineStr">
        <is>
          <t>BUG-002</t>
        </is>
      </c>
      <c r="C46" s="11" t="inlineStr">
        <is>
          <t>Bug / Correctness</t>
        </is>
      </c>
      <c r="D46" s="11" t="inlineStr">
        <is>
          <t>Wrong Aggregation</t>
        </is>
      </c>
      <c r="E46" s="11" t="inlineStr">
        <is>
          <t>Defect</t>
        </is>
      </c>
      <c r="F46" s="9" t="inlineStr">
        <is>
          <t>Payment dashboard "total revenue" sums FAILED and PENDING payments too</t>
        </is>
      </c>
      <c r="G46" s="9" t="inlineStr">
        <is>
          <t>getStats() aggregates payments.amount for the current and previous month with only a date filter, while sibling counters filter by status. Failed checkouts are stored with the computed total (createPaymentRecord isSuccess=false), so failed attempts inflate revenue and the month-over-month change.</t>
        </is>
      </c>
      <c r="H46" s="12" t="inlineStr">
        <is>
          <t xml:space="preserve">  _sum: { amount: true },
  where: { created_at: { gte: startOfThisMonth, lte: endOfThisMonth } },
}),
this.prisma.payment.aggregate({</t>
        </is>
      </c>
      <c r="I46" s="11" t="inlineStr">
        <is>
          <t>Medium</t>
        </is>
      </c>
      <c r="J46" s="11" t="inlineStr">
        <is>
          <t>Medium</t>
        </is>
      </c>
      <c r="K46" s="11" t="inlineStr">
        <is>
          <t>High</t>
        </is>
      </c>
      <c r="L46" s="11" t="inlineStr">
        <is>
          <t>S</t>
        </is>
      </c>
      <c r="M46" s="11" t="inlineStr">
        <is>
          <t>No</t>
        </is>
      </c>
      <c r="N46" s="11" t="inlineStr">
        <is>
          <t>nest-app: Admin CRM (leads, campaigns, email, team, roles, reports)</t>
        </is>
      </c>
      <c r="O46" s="11" t="inlineStr">
        <is>
          <t>apps/nest-app/src/modules/admin/payment-transaction/payment-transaction.service.ts</t>
        </is>
      </c>
      <c r="P46" s="11" t="inlineStr">
        <is>
          <t>39-42</t>
        </is>
      </c>
      <c r="Q46" s="9" t="inlineStr">
        <is>
          <t>apps/nest-app/src/modules/admin/payment-transaction/payment-transaction.service.ts:43</t>
        </is>
      </c>
      <c r="R46" s="11" t="n">
        <v>2</v>
      </c>
      <c r="S46" s="9" t="inlineStr">
        <is>
          <t>Overstated revenue on the admin payments dashboard.</t>
        </is>
      </c>
      <c r="T46" s="9" t="inlineStr">
        <is>
          <t>Add `status: PaymentStatus.PAID` to both aggregates and cover with a test.</t>
        </is>
      </c>
      <c r="U46" s="9" t="inlineStr">
        <is>
          <t>Create one PAID and one FAILED payment in the same month and compare GET /api/payment-transaction/stats revenue with the PAID total.</t>
        </is>
      </c>
      <c r="V46" s="9" t="inlineStr">
        <is>
          <t>CWE-682</t>
        </is>
      </c>
      <c r="W46" s="11" t="inlineStr">
        <is>
          <t>BUG-001</t>
        </is>
      </c>
      <c r="X46" s="11" t="inlineStr">
        <is>
          <t>Open</t>
        </is>
      </c>
    </row>
    <row r="47">
      <c r="A47" s="11" t="inlineStr">
        <is>
          <t>BrightSideCarwash-backend</t>
        </is>
      </c>
      <c r="B47" s="11" t="inlineStr">
        <is>
          <t>BUG-004</t>
        </is>
      </c>
      <c r="C47" s="11" t="inlineStr">
        <is>
          <t>Bug / Correctness</t>
        </is>
      </c>
      <c r="D47" s="11" t="inlineStr">
        <is>
          <t>Race Condition (slot lock)</t>
        </is>
      </c>
      <c r="E47" s="11" t="inlineStr">
        <is>
          <t>Defect</t>
        </is>
      </c>
      <c r="F47" s="9" t="inlineStr">
        <is>
          <t>Slot lock is check-then-set on a raw string key and is not bound to the cart</t>
        </is>
      </c>
      <c r="G47" s="9" t="inlineStr">
        <is>
          <t>lockTimeSlot() GETs the key, calls Square, then SETs with PX (no NX), so two clients can both obtain a lock for the same slot. The key embeds the caller's raw startAt string, so `...T10:00:00Z` and `...T10:00:00.000Z` map to different locks for the same instant. confirmBooking only compares startAt with the lock; the lock stores serviceVariationIds and cartId but checkout never verifies that cartItems/teamMemberId match them, so a short service can be locked and a different cart booked. A user retrying with the same cartId is rejected until the TTL expires by the redundant conditional.</t>
        </is>
      </c>
      <c r="H47" s="12" t="inlineStr">
        <is>
          <t>await this.redis.set(lockKey, JSON.stringify(lockData), 'PX', this.lockTtlMs);</t>
        </is>
      </c>
      <c r="I47" s="11" t="inlineStr">
        <is>
          <t>Medium</t>
        </is>
      </c>
      <c r="J47" s="11" t="inlineStr">
        <is>
          <t>Medium</t>
        </is>
      </c>
      <c r="K47" s="11" t="inlineStr">
        <is>
          <t>Medium</t>
        </is>
      </c>
      <c r="L47" s="11" t="inlineStr">
        <is>
          <t>M</t>
        </is>
      </c>
      <c r="M47" s="11" t="inlineStr">
        <is>
          <t>No</t>
        </is>
      </c>
      <c r="N47" s="11" t="inlineStr">
        <is>
          <t>nest-app: Booking &amp; Payments (Square)</t>
        </is>
      </c>
      <c r="O47" s="11" t="inlineStr">
        <is>
          <t>apps/nest-app/src/modules/application/booking/squareup-booking.service.ts</t>
        </is>
      </c>
      <c r="P47" s="11" t="inlineStr">
        <is>
          <t>577</t>
        </is>
      </c>
      <c r="Q47" s="9" t="inlineStr">
        <is>
          <t>apps/nest-app/src/modules/application/booking/squareup-booking.service.ts:510
apps/nest-app/src/modules/application/booking/squareup-booking.service.ts:653
apps/nest-app/src/modules/application/booking/squareup-booking.service.ts:526</t>
        </is>
      </c>
      <c r="R47" s="11" t="n">
        <v>4</v>
      </c>
      <c r="S47" s="9" t="inlineStr">
        <is>
          <t>Double holds, mismatched service/slot bookings, and confusing 409s for legitimate retries.</t>
        </is>
      </c>
      <c r="T47" s="9" t="inlineStr">
        <is>
          <t>Normalize startAt (new Date(x).toISOString()) before building the key, use `SET key value NX PX` (or Redlock), allow idempotent re-lock for the same cartId (return the existing token), and compare the checkout cart with the locked serviceVariationIds.</t>
        </is>
      </c>
      <c r="U47" s="9" t="inlineStr">
        <is>
          <t>POST /appointments/lock twice concurrently, and once with a `.000Z` suffix, then inspect Redis keys `lock:&lt;location&gt;:&lt;startAt&gt;`.</t>
        </is>
      </c>
      <c r="V47" s="9" t="inlineStr">
        <is>
          <t>CWE-362, CWE-367</t>
        </is>
      </c>
      <c r="W47" s="11" t="n"/>
      <c r="X47" s="11" t="inlineStr">
        <is>
          <t>Open</t>
        </is>
      </c>
    </row>
    <row r="48">
      <c r="A48" s="11" t="inlineStr">
        <is>
          <t>BrightSideCarwash-backend</t>
        </is>
      </c>
      <c r="B48" s="11" t="inlineStr">
        <is>
          <t>BUG-005</t>
        </is>
      </c>
      <c r="C48" s="11" t="inlineStr">
        <is>
          <t>Bug / Correctness</t>
        </is>
      </c>
      <c r="D48" s="11" t="inlineStr">
        <is>
          <t>Unit Mismatch (milliseconds as seconds)</t>
        </is>
      </c>
      <c r="E48" s="11" t="inlineStr">
        <is>
          <t>Defect</t>
        </is>
      </c>
      <c r="F48" s="9" t="inlineStr">
        <is>
          <t>Redis TTLs are set with millisecond values passed to the EX (seconds) option</t>
        </is>
      </c>
      <c r="G48" s="9" t="inlineStr">
        <is>
          <t>Session blacklist entries and stored refresh tokens use `redis.set(key, value, 'EX', &lt;expiry&gt;.getTime() - new Date().getTime())`, i.e. a duration in milliseconds where seconds are required. TTLs are 1000x too long (a 7 day intent becomes ~19 years). Keys never expire in practice, so Redis grows with every login, logout and role change, and refresh_token keys outlive the tokens they mirror.</t>
        </is>
      </c>
      <c r="H48" s="12" t="inlineStr">
        <is>
          <t>DateHelper.generateFutureDate(appConfig().jwt.refresh_token_expiry || '30d').date.getTime() - new Date().getTime()</t>
        </is>
      </c>
      <c r="I48" s="11" t="inlineStr">
        <is>
          <t>Medium</t>
        </is>
      </c>
      <c r="J48" s="11" t="inlineStr">
        <is>
          <t>Medium</t>
        </is>
      </c>
      <c r="K48" s="11" t="inlineStr">
        <is>
          <t>High</t>
        </is>
      </c>
      <c r="L48" s="11" t="inlineStr">
        <is>
          <t>S</t>
        </is>
      </c>
      <c r="M48" s="11" t="inlineStr">
        <is>
          <t>No</t>
        </is>
      </c>
      <c r="N48" s="11" t="inlineStr">
        <is>
          <t>nest-app: Auth &amp; RBAC</t>
        </is>
      </c>
      <c r="O48" s="11" t="inlineStr">
        <is>
          <t>apps/nest-app/src/modules/auth/auth.service.ts</t>
        </is>
      </c>
      <c r="P48" s="11" t="inlineStr">
        <is>
          <t>431</t>
        </is>
      </c>
      <c r="Q48" s="9" t="inlineStr">
        <is>
          <t>apps/nest-app/src/modules/auth/auth.service.ts:507
apps/nest-app/src/modules/auth/auth.service.ts:528
apps/nest-app/src/modules/admin/team/team.service.ts:188
apps/nest-app/src/modules/admin/team/team.service.ts:218</t>
        </is>
      </c>
      <c r="R48" s="11" t="n">
        <v>5</v>
      </c>
      <c r="S48" s="9" t="inlineStr">
        <is>
          <t>Unbounded Redis memory growth (the same Redis holds RBAC cache and BullMQ queues) and stale session data.</t>
        </is>
      </c>
      <c r="T48" s="9" t="inlineStr">
        <is>
          <t>Divide by 1000 (`Math.ceil(ms/1000)`) or use the PX option; add an integration test asserting `TTL` on created keys.</t>
        </is>
      </c>
      <c r="U48" s="9" t="inlineStr">
        <is>
          <t>Log in, then `redis-cli TTL refresh_token:&lt;sessionId&gt;` returns ~604,800,000 instead of ~604,800.</t>
        </is>
      </c>
      <c r="V48" s="9" t="inlineStr">
        <is>
          <t>CWE-770; ioredis SET options</t>
        </is>
      </c>
      <c r="W48" s="11" t="inlineStr">
        <is>
          <t>AUTH-003</t>
        </is>
      </c>
      <c r="X48" s="11" t="inlineStr">
        <is>
          <t>Open</t>
        </is>
      </c>
    </row>
    <row r="49">
      <c r="A49" s="11" t="inlineStr">
        <is>
          <t>BrightSideCarwash-backend</t>
        </is>
      </c>
      <c r="B49" s="11" t="inlineStr">
        <is>
          <t>BUG-007</t>
        </is>
      </c>
      <c r="C49" s="11" t="inlineStr">
        <is>
          <t>Bug / Correctness</t>
        </is>
      </c>
      <c r="D49" s="11" t="inlineStr">
        <is>
          <t>Wrong Data in Export</t>
        </is>
      </c>
      <c r="E49" s="11" t="inlineStr">
        <is>
          <t>Defect</t>
        </is>
      </c>
      <c r="F49" s="9" t="inlineStr">
        <is>
          <t>Lead export "Name" column shows the assignee name instead of the lead name</t>
        </is>
      </c>
      <c r="G49" s="9" t="inlineStr">
        <is>
          <t>In both CSV and XLSX exports the Name value is `${lead.assignee?.first_name} ${lead.assignee?.last_name}` and falls back to lead.name only when no assignee exists. Assigned leads therefore export the staff member's name in place of the customer's name.</t>
        </is>
      </c>
      <c r="H49" s="12" t="inlineStr">
        <is>
          <t>name: `${lead.assignee?.first_name || ''} ${lead.assignee?.last_name || ''}`.trim() || lead.name || '',</t>
        </is>
      </c>
      <c r="I49" s="11" t="inlineStr">
        <is>
          <t>Medium</t>
        </is>
      </c>
      <c r="J49" s="11" t="inlineStr">
        <is>
          <t>Medium</t>
        </is>
      </c>
      <c r="K49" s="11" t="inlineStr">
        <is>
          <t>High</t>
        </is>
      </c>
      <c r="L49" s="11" t="inlineStr">
        <is>
          <t>S</t>
        </is>
      </c>
      <c r="M49" s="11" t="inlineStr">
        <is>
          <t>No</t>
        </is>
      </c>
      <c r="N49" s="11" t="inlineStr">
        <is>
          <t>nest-app: Admin CRM (leads, campaigns, email, team, roles, reports)</t>
        </is>
      </c>
      <c r="O49" s="11" t="inlineStr">
        <is>
          <t>apps/nest-app/src/modules/admin/lead/lead.service.ts</t>
        </is>
      </c>
      <c r="P49" s="11" t="inlineStr">
        <is>
          <t>248</t>
        </is>
      </c>
      <c r="Q49" s="9" t="inlineStr">
        <is>
          <t>apps/nest-app/src/modules/admin/lead/lead.service.ts:289</t>
        </is>
      </c>
      <c r="R49" s="11" t="n">
        <v>2</v>
      </c>
      <c r="S49" s="9" t="inlineStr">
        <is>
          <t>Exports used for follow-up campaigns or reporting contain wrong customer names.</t>
        </is>
      </c>
      <c r="T49" s="9" t="inlineStr">
        <is>
          <t>Use lead.name and add a separate "Assigned To" column.</t>
        </is>
      </c>
      <c r="U49" s="9" t="inlineStr">
        <is>
          <t>Assign a lead to a user, export it as CSV and compare the Name column.</t>
        </is>
      </c>
      <c r="V49" s="9" t="inlineStr">
        <is>
          <t>CWE-682</t>
        </is>
      </c>
      <c r="W49" s="11" t="n"/>
      <c r="X49" s="11" t="inlineStr">
        <is>
          <t>Open</t>
        </is>
      </c>
    </row>
    <row r="50">
      <c r="A50" s="11" t="inlineStr">
        <is>
          <t>BrightSideCarwash-backend</t>
        </is>
      </c>
      <c r="B50" s="11" t="inlineStr">
        <is>
          <t>BUG-010</t>
        </is>
      </c>
      <c r="C50" s="11" t="inlineStr">
        <is>
          <t>Bug / Correctness</t>
        </is>
      </c>
      <c r="D50" s="11" t="inlineStr">
        <is>
          <t>Duplicate Background Jobs</t>
        </is>
      </c>
      <c r="E50" s="11" t="inlineStr">
        <is>
          <t>Defect</t>
        </is>
      </c>
      <c r="F50" s="9" t="inlineStr">
        <is>
          <t>Scheduler threads start in every gunicorn worker and on every restart</t>
        </is>
      </c>
      <c r="G50" s="9" t="inlineStr">
        <is>
          <t>ServicesConfig.ready() starts two daemon threads (service sync every 8h and website scrape + embedding every week). Gunicorn runs 3 workers, each imports the app and starts its own threads, so each startup runs 3 concurrent syncs/scrapes and embedding batches that replace the same KB file. There is no distributed lock or once-only guard beyond a per-process flag.</t>
        </is>
      </c>
      <c r="H50" s="12" t="inlineStr">
        <is>
          <t>start_service_scheduler()</t>
        </is>
      </c>
      <c r="I50" s="11" t="inlineStr">
        <is>
          <t>Medium</t>
        </is>
      </c>
      <c r="J50" s="11" t="inlineStr">
        <is>
          <t>Medium</t>
        </is>
      </c>
      <c r="K50" s="11" t="inlineStr">
        <is>
          <t>High</t>
        </is>
      </c>
      <c r="L50" s="11" t="inlineStr">
        <is>
          <t>M</t>
        </is>
      </c>
      <c r="M50" s="11" t="inlineStr">
        <is>
          <t>No</t>
        </is>
      </c>
      <c r="N50" s="11" t="inlineStr">
        <is>
          <t>django-app: Config &amp; Service Sync</t>
        </is>
      </c>
      <c r="O50" s="11" t="inlineStr">
        <is>
          <t>apps/django-app/apps/services/apps.py</t>
        </is>
      </c>
      <c r="P50" s="11" t="inlineStr">
        <is>
          <t>16</t>
        </is>
      </c>
      <c r="Q50" s="9" t="inlineStr">
        <is>
          <t>apps/django-app/apps/services/scheduler.py:42
apps/django-app/Dockerfile:30</t>
        </is>
      </c>
      <c r="R50" s="11" t="n">
        <v>3</v>
      </c>
      <c r="S50" s="9" t="inlineStr">
        <is>
          <t>Triple OpenAI embedding cost per deploy, race conditions when replacing the knowledge-base file, wasted load on the Nest API.</t>
        </is>
      </c>
      <c r="T50" s="9" t="inlineStr">
        <is>
          <t>Move periodic work to a dedicated scheduler container / management command (cron, Celery beat) or guard with a DB/Redis advisory lock; do not scrape on boot.</t>
        </is>
      </c>
      <c r="U50" s="9" t="inlineStr">
        <is>
          <t>Start the container and count "Triggering initial website scrape" log lines (expect 3).</t>
        </is>
      </c>
      <c r="V50" s="9" t="inlineStr">
        <is>
          <t>CWE-362</t>
        </is>
      </c>
      <c r="W50" s="11" t="n"/>
      <c r="X50" s="11" t="inlineStr">
        <is>
          <t>Open</t>
        </is>
      </c>
    </row>
    <row r="51">
      <c r="A51" s="11" t="inlineStr">
        <is>
          <t>BrightSideCarwash-backend</t>
        </is>
      </c>
      <c r="B51" s="11" t="inlineStr">
        <is>
          <t>CFG-003</t>
        </is>
      </c>
      <c r="C51" s="11" t="inlineStr">
        <is>
          <t>Configuration &amp; Environment</t>
        </is>
      </c>
      <c r="D51" s="11" t="inlineStr">
        <is>
          <t>Insecure Default (Swagger credentials)</t>
        </is>
      </c>
      <c r="E51" s="11" t="inlineStr">
        <is>
          <t>Risk</t>
        </is>
      </c>
      <c r="F51" s="9" t="inlineStr">
        <is>
          <t>Swagger basic-auth defaults to an empty password and uses non-constant-time compare</t>
        </is>
      </c>
      <c r="G51" s="9" t="inlineStr">
        <is>
          <t>When ENABLE_SWAGGER=true (the value in .env.example) and SWAGGER_PASSWORD is not set, config falls back to user 'admin' with an empty password, so the full API description (including hidden admin routes) is reachable with `Authorization: Basic YWRtaW46`. Comparison uses ===.</t>
        </is>
      </c>
      <c r="H51" s="12" t="inlineStr">
        <is>
          <t>if (user === swaggerUser &amp;&amp; password === swaggerPassword) {</t>
        </is>
      </c>
      <c r="I51" s="11" t="inlineStr">
        <is>
          <t>Medium</t>
        </is>
      </c>
      <c r="J51" s="11" t="inlineStr">
        <is>
          <t>Medium</t>
        </is>
      </c>
      <c r="K51" s="11" t="inlineStr">
        <is>
          <t>High</t>
        </is>
      </c>
      <c r="L51" s="11" t="inlineStr">
        <is>
          <t>S</t>
        </is>
      </c>
      <c r="M51" s="11" t="inlineStr">
        <is>
          <t>No</t>
        </is>
      </c>
      <c r="N51" s="11" t="inlineStr">
        <is>
          <t>nest-app: Platform (config, storage, mail, notifications, logging, Prisma)</t>
        </is>
      </c>
      <c r="O51" s="11" t="inlineStr">
        <is>
          <t>apps/nest-app/src/main.ts</t>
        </is>
      </c>
      <c r="P51" s="11" t="inlineStr">
        <is>
          <t>143</t>
        </is>
      </c>
      <c r="Q51" s="9" t="inlineStr">
        <is>
          <t>apps/nest-app/src/config/app.config.ts:17
apps/nest-app/.env.example:15</t>
        </is>
      </c>
      <c r="R51" s="11" t="n">
        <v>3</v>
      </c>
      <c r="S51" s="9" t="inlineStr">
        <is>
          <t>Route and DTO disclosure that speeds up attacks; low direct impact.</t>
        </is>
      </c>
      <c r="T51" s="9" t="inlineStr">
        <is>
          <t>Refuse to enable Swagger without a non-empty password, compare with timingSafeEqual, and default ENABLE_SWAGGER=false in examples.</t>
        </is>
      </c>
      <c r="U51" s="9" t="inlineStr">
        <is>
          <t>ENABLE_SWAGGER=true with no password, then `curl -u admin: https://&lt;host&gt;/api/docs-json`.</t>
        </is>
      </c>
      <c r="V51" s="9" t="inlineStr">
        <is>
          <t>CWE-1188</t>
        </is>
      </c>
      <c r="W51" s="11" t="n"/>
      <c r="X51" s="11" t="inlineStr">
        <is>
          <t>Open</t>
        </is>
      </c>
    </row>
    <row r="52">
      <c r="A52" s="11" t="inlineStr">
        <is>
          <t>BrightSideCarwash-backend</t>
        </is>
      </c>
      <c r="B52" s="11" t="inlineStr">
        <is>
          <t>CFG-004</t>
        </is>
      </c>
      <c r="C52" s="11" t="inlineStr">
        <is>
          <t>Configuration &amp; Environment</t>
        </is>
      </c>
      <c r="D52" s="11" t="inlineStr">
        <is>
          <t>Ephemeral Third-party Endpoint Default</t>
        </is>
      </c>
      <c r="E52" s="11" t="inlineStr">
        <is>
          <t>Risk</t>
        </is>
      </c>
      <c r="F52" s="9" t="inlineStr">
        <is>
          <t>Django syncs services/prices from a hard-coded trycloudflare tunnel URL</t>
        </is>
      </c>
      <c r="G52" s="9" t="inlineStr">
        <is>
          <t>APPOINTMENTS_API_BASE_URL defaults to a *.trycloudflare.com quick-tunnel host in settings.py, and services.py has a second, different tunnel hostname as a fallback. Quick tunnels are ephemeral and can be reclaimed by others. The fetched service/price/location text is injected into the LLM system prompt and shown to customers, so a hijacked or stale endpoint would silently change chatbot answers. Other production URLs (Vercel site, booking link) are hard-coded too.</t>
        </is>
      </c>
      <c r="H52" s="12" t="inlineStr">
        <is>
          <t>default="https://lightweight-inclusive-trustees-outside.trycloudflare.com"</t>
        </is>
      </c>
      <c r="I52" s="11" t="inlineStr">
        <is>
          <t>Medium</t>
        </is>
      </c>
      <c r="J52" s="11" t="inlineStr">
        <is>
          <t>Medium</t>
        </is>
      </c>
      <c r="K52" s="11" t="inlineStr">
        <is>
          <t>High</t>
        </is>
      </c>
      <c r="L52" s="11" t="inlineStr">
        <is>
          <t>S</t>
        </is>
      </c>
      <c r="M52" s="11" t="inlineStr">
        <is>
          <t>No</t>
        </is>
      </c>
      <c r="N52" s="11" t="inlineStr">
        <is>
          <t>django-app: Config &amp; Service Sync</t>
        </is>
      </c>
      <c r="O52" s="11" t="inlineStr">
        <is>
          <t>apps/django-app/config/settings.py</t>
        </is>
      </c>
      <c r="P52" s="11" t="inlineStr">
        <is>
          <t>330</t>
        </is>
      </c>
      <c r="Q52" s="9" t="inlineStr">
        <is>
          <t>apps/django-app/apps/services/services.py:25
apps/django-app/config/settings.py:295
apps/django-app/apps/knowledgebase/scraper.py:16</t>
        </is>
      </c>
      <c r="R52" s="11" t="n">
        <v>4</v>
      </c>
      <c r="S52" s="9" t="inlineStr">
        <is>
          <t>Wrong prices/locations in chatbot answers; data-integrity and prompt-injection risk from an untrusted upstream.</t>
        </is>
      </c>
      <c r="T52" s="9" t="inlineStr">
        <is>
          <t>Require APPOINTMENTS_API_BASE_URL (no default), point it at the stable production API over HTTPS, validate the response schema, and move site/booking URLs to settings.</t>
        </is>
      </c>
      <c r="U52" s="9" t="inlineStr">
        <is>
          <t>Check which host the container syncs from in the startup log ("Syncing locations from URL").</t>
        </is>
      </c>
      <c r="V52" s="9" t="inlineStr">
        <is>
          <t>CWE-1188, CWE-829</t>
        </is>
      </c>
      <c r="W52" s="11" t="n"/>
      <c r="X52" s="11" t="inlineStr">
        <is>
          <t>Open</t>
        </is>
      </c>
    </row>
    <row r="53">
      <c r="A53" s="11" t="inlineStr">
        <is>
          <t>BrightSideCarwash-backend</t>
        </is>
      </c>
      <c r="B53" s="11" t="inlineStr">
        <is>
          <t>DEP-002</t>
        </is>
      </c>
      <c r="C53" s="11" t="inlineStr">
        <is>
          <t>Dependency Management</t>
        </is>
      </c>
      <c r="D53" s="11" t="inlineStr">
        <is>
          <t>Unused / Phantom Dependencies</t>
        </is>
      </c>
      <c r="E53" s="11" t="inlineStr">
        <is>
          <t>Tech Debt</t>
        </is>
      </c>
      <c r="F53" s="9" t="inlineStr">
        <is>
          <t>Unused heavyweight packages are installed while used ones are not declared</t>
        </is>
      </c>
      <c r="G53" s="9" t="inlineStr">
        <is>
          <t>A search of src/, prisma/ and test/ for imports found none for puppeteer (bundles Chromium), stripe, firebase-admin, passport-facebook, passport-google-oauth20, @googlemaps/google-maps-services-js, @googlemaps/routing, nestjs-url-generator and date-fns, yet they are production dependencies (they also pull the critical advisories above). Conversely ejs (mail templates), jsonwebtoken (WebSocket gateway) and uuid are imported but not declared in package.json (they resolve transitively). @nestjs/microservices and @nestjs/terminus are pinned to 11.0.0 while @nestjs/core is ^11.1.9, and versions mix exact pins and carets.</t>
        </is>
      </c>
      <c r="H53" s="12" t="inlineStr">
        <is>
          <t>"puppeteer": "24.6.1",</t>
        </is>
      </c>
      <c r="I53" s="11" t="inlineStr">
        <is>
          <t>Medium</t>
        </is>
      </c>
      <c r="J53" s="11" t="inlineStr">
        <is>
          <t>Medium</t>
        </is>
      </c>
      <c r="K53" s="11" t="inlineStr">
        <is>
          <t>Medium</t>
        </is>
      </c>
      <c r="L53" s="11" t="inlineStr">
        <is>
          <t>M</t>
        </is>
      </c>
      <c r="M53" s="11" t="inlineStr">
        <is>
          <t>No</t>
        </is>
      </c>
      <c r="N53" s="11" t="inlineStr">
        <is>
          <t>Dependencies &amp; Tests</t>
        </is>
      </c>
      <c r="O53" s="11" t="inlineStr">
        <is>
          <t>apps/nest-app/package.json</t>
        </is>
      </c>
      <c r="P53" s="11" t="inlineStr">
        <is>
          <t>82</t>
        </is>
      </c>
      <c r="Q53" s="9" t="inlineStr">
        <is>
          <t>apps/nest-app/package.json:90
apps/nest-app/package.json:65
apps/nest-app/src/mail/template-renderer.service.ts:6
apps/nest-app/src/modules/notification/gateway/notification.gateway.ts:5</t>
        </is>
      </c>
      <c r="R53" s="11" t="n">
        <v>5</v>
      </c>
      <c r="S53" s="9" t="inlineStr">
        <is>
          <t>Larger attack surface, slower installs/images, and fragile builds if transitive versions change (e.g. ejs disappearing breaks all emails). Confidence Medium because dynamic requires were not exhaustively excluded.</t>
        </is>
      </c>
      <c r="T53" s="9" t="inlineStr">
        <is>
          <t>Remove unused packages, declare ejs/jsonwebtoken/uuid explicitly, align @nestjs/* versions.</t>
        </is>
      </c>
      <c r="U53" s="9" t="inlineStr">
        <is>
          <t>`npx depcheck` in apps/nest-app.</t>
        </is>
      </c>
      <c r="V53" s="9" t="inlineStr">
        <is>
          <t>OWASP Top 10 2021 A06</t>
        </is>
      </c>
      <c r="W53" s="11" t="inlineStr">
        <is>
          <t>DEP-001</t>
        </is>
      </c>
      <c r="X53" s="11" t="inlineStr">
        <is>
          <t>Open</t>
        </is>
      </c>
    </row>
    <row r="54">
      <c r="A54" s="11" t="inlineStr">
        <is>
          <t>BrightSideCarwash-backend</t>
        </is>
      </c>
      <c r="B54" s="11" t="inlineStr">
        <is>
          <t>DEP-004</t>
        </is>
      </c>
      <c r="C54" s="11" t="inlineStr">
        <is>
          <t>Dependency Management</t>
        </is>
      </c>
      <c r="D54" s="11" t="inlineStr">
        <is>
          <t>Unpinned Dependencies / No Lockfile</t>
        </is>
      </c>
      <c r="E54" s="11" t="inlineStr">
        <is>
          <t>Risk</t>
        </is>
      </c>
      <c r="F54" s="9" t="inlineStr">
        <is>
          <t>Django requirements use open ranges with no lockfile or hashes</t>
        </is>
      </c>
      <c r="G54" s="9" t="inlineStr">
        <is>
          <t>All 21 requirements use `&gt;=` (or a range) with no pinned versions, constraints file or hashes, so every image build can pull different releases (including pre-release breaking changes in openai, pgvector, DRF) and the audit tooling cannot determine the deployed versions. pip-audit was not available, so Python CVEs were not scanned.</t>
        </is>
      </c>
      <c r="H54" s="12" t="inlineStr">
        <is>
          <t>openai&gt;=1.40.0</t>
        </is>
      </c>
      <c r="I54" s="11" t="inlineStr">
        <is>
          <t>Medium</t>
        </is>
      </c>
      <c r="J54" s="11" t="inlineStr">
        <is>
          <t>Medium</t>
        </is>
      </c>
      <c r="K54" s="11" t="inlineStr">
        <is>
          <t>High</t>
        </is>
      </c>
      <c r="L54" s="11" t="inlineStr">
        <is>
          <t>S</t>
        </is>
      </c>
      <c r="M54" s="11" t="inlineStr">
        <is>
          <t>No</t>
        </is>
      </c>
      <c r="N54" s="11" t="inlineStr">
        <is>
          <t>Dependencies &amp; Tests</t>
        </is>
      </c>
      <c r="O54" s="11" t="inlineStr">
        <is>
          <t>apps/django-app/requirements.txt</t>
        </is>
      </c>
      <c r="P54" s="11" t="inlineStr">
        <is>
          <t>11</t>
        </is>
      </c>
      <c r="Q54" s="9" t="inlineStr">
        <is>
          <t>apps/django-app/requirements.txt:2
apps/django-app/Dockerfile:18</t>
        </is>
      </c>
      <c r="R54" s="11" t="n">
        <v>3</v>
      </c>
      <c r="S54" s="9" t="inlineStr">
        <is>
          <t>Non-reproducible builds and unaudited transitive versions.</t>
        </is>
      </c>
      <c r="T54" s="9" t="inlineStr">
        <is>
          <t>Generate a pinned lock (pip-compile --generate-hashes / uv / poetry) and install with `--require-hashes`; add pip-audit to CI.</t>
        </is>
      </c>
      <c r="U54" s="9" t="inlineStr">
        <is>
          <t>Build the image twice on different days and compare `pip freeze`.</t>
        </is>
      </c>
      <c r="V54" s="9" t="inlineStr">
        <is>
          <t>OpenSSF Scorecard: Pinned-Dependencies</t>
        </is>
      </c>
      <c r="W54" s="11" t="n"/>
      <c r="X54" s="11" t="inlineStr">
        <is>
          <t>Open</t>
        </is>
      </c>
    </row>
    <row r="55">
      <c r="A55" s="11" t="inlineStr">
        <is>
          <t>BrightSideCarwash-backend</t>
        </is>
      </c>
      <c r="B55" s="11" t="inlineStr">
        <is>
          <t>ERR-002</t>
        </is>
      </c>
      <c r="C55" s="11" t="inlineStr">
        <is>
          <t>Error Handling &amp; Resilience</t>
        </is>
      </c>
      <c r="D55" s="11" t="inlineStr">
        <is>
          <t>Swallowed Exception (storage)</t>
        </is>
      </c>
      <c r="E55" s="11" t="inlineStr">
        <is>
          <t>Defect</t>
        </is>
      </c>
      <c r="F55" s="9" t="inlineStr">
        <is>
          <t>Local storage adapter hides write and read failures</t>
        </is>
      </c>
      <c r="G55" s="9" t="inlineStr">
        <is>
          <t>LocalAdapter.put/get catch all errors and only console.log them, returning undefined. Controllers then continue to save database records that point to files that were never written and report success.</t>
        </is>
      </c>
      <c r="H55" s="12" t="inlineStr">
        <is>
          <t xml:space="preserve">  await fs.writeFile(filePath, value);
} catch (err) {
  console.log(err);
}</t>
        </is>
      </c>
      <c r="I55" s="11" t="inlineStr">
        <is>
          <t>Medium</t>
        </is>
      </c>
      <c r="J55" s="11" t="inlineStr">
        <is>
          <t>Medium</t>
        </is>
      </c>
      <c r="K55" s="11" t="inlineStr">
        <is>
          <t>High</t>
        </is>
      </c>
      <c r="L55" s="11" t="inlineStr">
        <is>
          <t>S</t>
        </is>
      </c>
      <c r="M55" s="11" t="inlineStr">
        <is>
          <t>No</t>
        </is>
      </c>
      <c r="N55" s="11" t="inlineStr">
        <is>
          <t>nest-app: Platform (config, storage, mail, notifications, logging, Prisma)</t>
        </is>
      </c>
      <c r="O55" s="11" t="inlineStr">
        <is>
          <t>apps/nest-app/src/common/lib/Disk/drivers/LocalAdapter.ts</t>
        </is>
      </c>
      <c r="P55" s="11" t="inlineStr">
        <is>
          <t>72-75</t>
        </is>
      </c>
      <c r="Q55" s="9" t="inlineStr">
        <is>
          <t>apps/nest-app/src/common/lib/Disk/drivers/LocalAdapter.ts:50</t>
        </is>
      </c>
      <c r="R55" s="11" t="n">
        <v>2</v>
      </c>
      <c r="S55" s="9" t="inlineStr">
        <is>
          <t>Broken images/attachments and lost uploads without any error surface.</t>
        </is>
      </c>
      <c r="T55" s="9" t="inlineStr">
        <is>
          <t>Let errors propagate (or rethrow typed StorageError), log via Nest Logger, and handle in controllers with cleanup.</t>
        </is>
      </c>
      <c r="U55" s="9" t="inlineStr">
        <is>
          <t>Make ./public/storage read-only and upload a gallery image: API returns 201 while the file is missing.</t>
        </is>
      </c>
      <c r="V55" s="9" t="inlineStr">
        <is>
          <t>CWE-391</t>
        </is>
      </c>
      <c r="W55" s="11" t="n"/>
      <c r="X55" s="11" t="inlineStr">
        <is>
          <t>Open</t>
        </is>
      </c>
    </row>
    <row r="56">
      <c r="A56" s="11" t="inlineStr">
        <is>
          <t>BrightSideCarwash-backend</t>
        </is>
      </c>
      <c r="B56" s="11" t="inlineStr">
        <is>
          <t>ERR-003</t>
        </is>
      </c>
      <c r="C56" s="11" t="inlineStr">
        <is>
          <t>Error Handling &amp; Resilience</t>
        </is>
      </c>
      <c r="D56" s="11" t="inlineStr">
        <is>
          <t>Missing Timeouts</t>
        </is>
      </c>
      <c r="E56" s="11" t="inlineStr">
        <is>
          <t>Risk</t>
        </is>
      </c>
      <c r="F56" s="9" t="inlineStr">
        <is>
          <t>OpenAI/embedding calls have no explicit timeout or retry budget on synchronous workers</t>
        </is>
      </c>
      <c r="G56" s="9" t="inlineStr">
        <is>
          <t>The OpenAI client is created with only an api_key (SDK defaults: 10 minute timeout, 2 retries) while gunicorn uses 3 sync workers with --timeout 120. A slow upstream stalls workers, and each chat turn makes several sequential external calls (classifier, embedding, completion).</t>
        </is>
      </c>
      <c r="H56" s="12" t="inlineStr">
        <is>
          <t>_openai_client = openai.OpenAI(api_key=settings.OPENAI_API_KEY)</t>
        </is>
      </c>
      <c r="I56" s="11" t="inlineStr">
        <is>
          <t>Medium</t>
        </is>
      </c>
      <c r="J56" s="11" t="inlineStr">
        <is>
          <t>Medium</t>
        </is>
      </c>
      <c r="K56" s="11" t="inlineStr">
        <is>
          <t>Medium</t>
        </is>
      </c>
      <c r="L56" s="11" t="inlineStr">
        <is>
          <t>S</t>
        </is>
      </c>
      <c r="M56" s="11" t="inlineStr">
        <is>
          <t>No</t>
        </is>
      </c>
      <c r="N56" s="11" t="inlineStr">
        <is>
          <t>django-app: Chatbot &amp; Sessions</t>
        </is>
      </c>
      <c r="O56" s="11" t="inlineStr">
        <is>
          <t>apps/django-app/utils/llm/llm_client.py</t>
        </is>
      </c>
      <c r="P56" s="11" t="inlineStr">
        <is>
          <t>18</t>
        </is>
      </c>
      <c r="Q56" s="9" t="inlineStr">
        <is>
          <t>apps/django-app/Dockerfile:30</t>
        </is>
      </c>
      <c r="R56" s="11" t="n">
        <v>2</v>
      </c>
      <c r="S56" s="9" t="inlineStr">
        <is>
          <t>Chatbot outage under upstream latency; worker starvation; killed requests.</t>
        </is>
      </c>
      <c r="T56" s="9" t="inlineStr">
        <is>
          <t>Set `timeout=20, max_retries=2` on the client and embedding client, use gthread/async workers, and return a graceful fallback message.</t>
        </is>
      </c>
      <c r="U56" s="9" t="inlineStr">
        <is>
          <t>Block api.openai.com at the firewall and send chat messages: workers hang until gunicorn kills them.</t>
        </is>
      </c>
      <c r="V56" s="9" t="inlineStr">
        <is>
          <t>CWE-400, CWE-703</t>
        </is>
      </c>
      <c r="W56" s="11" t="n"/>
      <c r="X56" s="11" t="inlineStr">
        <is>
          <t>Open</t>
        </is>
      </c>
    </row>
    <row r="57">
      <c r="A57" s="11" t="inlineStr">
        <is>
          <t>BrightSideCarwash-backend</t>
        </is>
      </c>
      <c r="B57" s="11" t="inlineStr">
        <is>
          <t>OPS-001</t>
        </is>
      </c>
      <c r="C57" s="11" t="inlineStr">
        <is>
          <t>DevOps / CI/CD / Deployment</t>
        </is>
      </c>
      <c r="D57" s="11" t="inlineStr">
        <is>
          <t>Dockerfile (secrets in image, root)</t>
        </is>
      </c>
      <c r="E57" s="11" t="inlineStr">
        <is>
          <t>Vulnerability</t>
        </is>
      </c>
      <c r="F57" s="9" t="inlineStr">
        <is>
          <t>Nest Dockerfile bakes .env into the image and runs as root with dev dependencies</t>
        </is>
      </c>
      <c r="G57" s="9" t="inlineStr">
        <is>
          <t>The image copies `.env` (COPY .env ./), so all production secrets (DB, JWT, Stripe, Square, S3) are stored in image layers; .dockerignore excludes only node_modules and dist, so `COPY . .` would also copy it. The image is single-stage (build tooling and devDependencies ship to runtime), uses the floating tag node:24-alpine, has no USER instruction (runs as root) and no HEALTHCHECK.</t>
        </is>
      </c>
      <c r="H57" s="12" t="inlineStr">
        <is>
          <t>COPY .env ./</t>
        </is>
      </c>
      <c r="I57" s="11" t="inlineStr">
        <is>
          <t>Medium</t>
        </is>
      </c>
      <c r="J57" s="11" t="inlineStr">
        <is>
          <t>Medium</t>
        </is>
      </c>
      <c r="K57" s="11" t="inlineStr">
        <is>
          <t>High</t>
        </is>
      </c>
      <c r="L57" s="11" t="inlineStr">
        <is>
          <t>M</t>
        </is>
      </c>
      <c r="M57" s="11" t="inlineStr">
        <is>
          <t>No</t>
        </is>
      </c>
      <c r="N57" s="11" t="inlineStr">
        <is>
          <t>CI/CD &amp; Containers</t>
        </is>
      </c>
      <c r="O57" s="11" t="inlineStr">
        <is>
          <t>apps/nest-app/Dockerfile</t>
        </is>
      </c>
      <c r="P57" s="11" t="inlineStr">
        <is>
          <t>18</t>
        </is>
      </c>
      <c r="Q57" s="9" t="inlineStr">
        <is>
          <t>apps/nest-app/Dockerfile:2
apps/nest-app/.dockerignore:1
apps/nest-app/Dockerfile:30</t>
        </is>
      </c>
      <c r="R57" s="11" t="n">
        <v>4</v>
      </c>
      <c r="S57" s="9" t="inlineStr">
        <is>
          <t>Anyone with pull access to the image (or registry leak) obtains every secret; root container increases blast radius of RCE.</t>
        </is>
      </c>
      <c r="T57" s="9" t="inlineStr">
        <is>
          <t>Remove COPY .env, inject env at runtime (env_file/secrets), add .env* to .dockerignore, multi-stage build with `yarn install --frozen-lockfile --production` in the final stage, pin node version/digest, USER node, HEALTHCHECK on /health.</t>
        </is>
      </c>
      <c r="U57" s="9" t="inlineStr">
        <is>
          <t>`docker history` / `docker run --rm &lt;image&gt; cat .env`.</t>
        </is>
      </c>
      <c r="V57" s="9" t="inlineStr">
        <is>
          <t>CWE-522, CWE-250; CIS Docker Benchmark 4.1/4.10</t>
        </is>
      </c>
      <c r="W57" s="11" t="n"/>
      <c r="X57" s="11" t="inlineStr">
        <is>
          <t>Open</t>
        </is>
      </c>
    </row>
    <row r="58">
      <c r="A58" s="11" t="inlineStr">
        <is>
          <t>BrightSideCarwash-backend</t>
        </is>
      </c>
      <c r="B58" s="11" t="inlineStr">
        <is>
          <t>OPS-003</t>
        </is>
      </c>
      <c r="C58" s="11" t="inlineStr">
        <is>
          <t>DevOps / CI/CD / Deployment</t>
        </is>
      </c>
      <c r="D58" s="11" t="inlineStr">
        <is>
          <t>Destructive Startup Task</t>
        </is>
      </c>
      <c r="E58" s="11" t="inlineStr">
        <is>
          <t>Risk</t>
        </is>
      </c>
      <c r="F58" s="9" t="inlineStr">
        <is>
          <t>Seed runs on every container start and resets RBAC for Admin/Manager roles</t>
        </is>
      </c>
      <c r="G58" s="9" t="inlineStr">
        <is>
          <t>The compose command runs `prisma migrate deploy &amp;&amp; yarn db:seed &amp;&amp; start`. The seed deletes permissions that are not in its constants (cascading role_permissions of custom roles), deletes and recreates all role_permissions for the Admin and Manager roles and flushes role cache keys in Redis on each start, overwriting any permission customisation made through the admin UI. It also re-creates default users (see hard-coded credential finding).</t>
        </is>
      </c>
      <c r="H58" s="12" t="inlineStr">
        <is>
          <t>command: sh -c "npx prisma migrate deploy &amp;&amp; yarn db:seed &amp;&amp; yarn start:prod"</t>
        </is>
      </c>
      <c r="I58" s="11" t="inlineStr">
        <is>
          <t>Medium</t>
        </is>
      </c>
      <c r="J58" s="11" t="inlineStr">
        <is>
          <t>Medium</t>
        </is>
      </c>
      <c r="K58" s="11" t="inlineStr">
        <is>
          <t>High</t>
        </is>
      </c>
      <c r="L58" s="11" t="inlineStr">
        <is>
          <t>S</t>
        </is>
      </c>
      <c r="M58" s="11" t="inlineStr">
        <is>
          <t>No</t>
        </is>
      </c>
      <c r="N58" s="11" t="inlineStr">
        <is>
          <t>CI/CD &amp; Containers</t>
        </is>
      </c>
      <c r="O58" s="11" t="inlineStr">
        <is>
          <t>apps/nest-app/docker-compose.yml</t>
        </is>
      </c>
      <c r="P58" s="11" t="inlineStr">
        <is>
          <t>25</t>
        </is>
      </c>
      <c r="Q58" s="9" t="inlineStr">
        <is>
          <t>apps/nest-app/prisma/seed.ts:194
apps/nest-app/prisma/seed.ts:235</t>
        </is>
      </c>
      <c r="R58" s="11" t="n">
        <v>3</v>
      </c>
      <c r="S58" s="9" t="inlineStr">
        <is>
          <t>Silent loss of permission changes on each redeploy; brief authorization gaps.</t>
        </is>
      </c>
      <c r="T58" s="9" t="inlineStr">
        <is>
          <t>Run migrations and seeds as separate one-off release steps; make seeding additive (never delete role links of customised roles).</t>
        </is>
      </c>
      <c r="U58" s="9" t="inlineStr">
        <is>
          <t>Change the Manager role permissions in the UI and restart the container; the change is reverted.</t>
        </is>
      </c>
      <c r="V58" s="9" t="inlineStr">
        <is>
          <t>n/a</t>
        </is>
      </c>
      <c r="W58" s="11" t="inlineStr">
        <is>
          <t>SEC-003</t>
        </is>
      </c>
      <c r="X58" s="11" t="inlineStr">
        <is>
          <t>Open</t>
        </is>
      </c>
    </row>
    <row r="59">
      <c r="A59" s="11" t="inlineStr">
        <is>
          <t>BrightSideCarwash-backend</t>
        </is>
      </c>
      <c r="B59" s="11" t="inlineStr">
        <is>
          <t>OPS-004</t>
        </is>
      </c>
      <c r="C59" s="11" t="inlineStr">
        <is>
          <t>DevOps / CI/CD / Deployment</t>
        </is>
      </c>
      <c r="D59" s="11" t="inlineStr">
        <is>
          <t>Dockerfile / Compose (Django)</t>
        </is>
      </c>
      <c r="E59" s="11" t="inlineStr">
        <is>
          <t>Risk</t>
        </is>
      </c>
      <c r="F59" s="9" t="inlineStr">
        <is>
          <t>Django container runs as root, exposes pgAdmin/Postgres with default passwords, migrates on every start</t>
        </is>
      </c>
      <c r="G59" s="9" t="inlineStr">
        <is>
          <t>The image keeps build-essential in the runtime layer, has no USER or HEALTHCHECK and installs unpinned dependencies. docker-compose publishes Postgres on 5435, pgAdmin on 5050 (default account admin@brightside.com with a weak fallback password, admin1****) and the app on 8000, and falls back to default DB credentials. The entrypoint runs `migrate` and `collectstatic --clear` on every start, which is unsafe with several replicas.</t>
        </is>
      </c>
      <c r="H59" s="12" t="inlineStr">
        <is>
          <t>FROM python:3.12-slim AS base   # no USER, build-essential kept at runtime
...
PGADMIN_DEFAULT_PASSWORD: ${PGADMIN_DEFAULT_PASSWORD:-****}   # weak fallback
ports: "5050:80", "5435:5432", "8000:8000"</t>
        </is>
      </c>
      <c r="I59" s="11" t="inlineStr">
        <is>
          <t>Medium</t>
        </is>
      </c>
      <c r="J59" s="11" t="inlineStr">
        <is>
          <t>Medium</t>
        </is>
      </c>
      <c r="K59" s="11" t="inlineStr">
        <is>
          <t>High</t>
        </is>
      </c>
      <c r="L59" s="11" t="inlineStr">
        <is>
          <t>M</t>
        </is>
      </c>
      <c r="M59" s="11" t="inlineStr">
        <is>
          <t>No</t>
        </is>
      </c>
      <c r="N59" s="11" t="inlineStr">
        <is>
          <t>CI/CD &amp; Containers</t>
        </is>
      </c>
      <c r="O59" s="11" t="inlineStr">
        <is>
          <t>apps/django-app/Dockerfile</t>
        </is>
      </c>
      <c r="P59" s="11" t="inlineStr">
        <is>
          <t>2</t>
        </is>
      </c>
      <c r="Q59" s="9" t="inlineStr">
        <is>
          <t>apps/django-app/docker-compose.yml:61
apps/django-app/docker-compose.yml:14
apps/django-app/docker/entrypoint.sh:20</t>
        </is>
      </c>
      <c r="R59" s="11" t="n">
        <v>4</v>
      </c>
      <c r="S59" s="9" t="inlineStr">
        <is>
          <t>Database admin console reachable with guessable credentials on any host using the compose file as-is.</t>
        </is>
      </c>
      <c r="T59" s="9" t="inlineStr">
        <is>
          <t>Multi-stage build, non-root user, HEALTHCHECK, remove pgAdmin from production compose (or bind to 127.0.0.1), require credentials via secrets, run migrations as a release job.</t>
        </is>
      </c>
      <c r="U59" s="9" t="inlineStr">
        <is>
          <t>Browse to http://&lt;host&gt;:5050 and try the documented default account (do not attempt on production).</t>
        </is>
      </c>
      <c r="V59" s="9" t="inlineStr">
        <is>
          <t>CIS Docker Benchmark; CWE-1188</t>
        </is>
      </c>
      <c r="W59" s="11" t="inlineStr">
        <is>
          <t>CFG-001</t>
        </is>
      </c>
      <c r="X59" s="11" t="inlineStr">
        <is>
          <t>Open</t>
        </is>
      </c>
    </row>
    <row r="60">
      <c r="A60" s="11" t="inlineStr">
        <is>
          <t>BrightSideCarwash-backend</t>
        </is>
      </c>
      <c r="B60" s="11" t="inlineStr">
        <is>
          <t>OPS-006</t>
        </is>
      </c>
      <c r="C60" s="11" t="inlineStr">
        <is>
          <t>DevOps / CI/CD / Deployment</t>
        </is>
      </c>
      <c r="D60" s="11" t="inlineStr">
        <is>
          <t>Missing Security Scanning</t>
        </is>
      </c>
      <c r="E60" s="11" t="inlineStr">
        <is>
          <t>Improvement</t>
        </is>
      </c>
      <c r="F60" s="9" t="inlineStr">
        <is>
          <t>No dependency, secret or code scanning in CI and no dependency update automation</t>
        </is>
      </c>
      <c r="G60" s="9" t="inlineStr">
        <is>
          <t>The repository has a single workflow triggered on push to main. There is no Dependabot/Renovate config, CodeQL/Semgrep, secret scanning (gitleaks), container image scanning, or pull-request checks (searched .github/ and repo root for dependabot.yml, codeql, renovate: none).</t>
        </is>
      </c>
      <c r="H60" s="12" t="inlineStr">
        <is>
          <t>branches:
  - main</t>
        </is>
      </c>
      <c r="I60" s="11" t="inlineStr">
        <is>
          <t>Medium</t>
        </is>
      </c>
      <c r="J60" s="11" t="inlineStr">
        <is>
          <t>Medium</t>
        </is>
      </c>
      <c r="K60" s="11" t="inlineStr">
        <is>
          <t>High</t>
        </is>
      </c>
      <c r="L60" s="11" t="inlineStr">
        <is>
          <t>M</t>
        </is>
      </c>
      <c r="M60" s="11" t="inlineStr">
        <is>
          <t>No</t>
        </is>
      </c>
      <c r="N60" s="11" t="inlineStr">
        <is>
          <t>CI/CD &amp; Containers</t>
        </is>
      </c>
      <c r="O60" s="11" t="inlineStr">
        <is>
          <t>.github/workflows/deploy.yml</t>
        </is>
      </c>
      <c r="P60" s="11" t="inlineStr">
        <is>
          <t>5-6</t>
        </is>
      </c>
      <c r="Q60" s="9" t="n"/>
      <c r="R60" s="11" t="n">
        <v>1</v>
      </c>
      <c r="S60" s="9" t="inlineStr">
        <is>
          <t>Known-vulnerable dependencies (see DEP finding) go unnoticed.</t>
        </is>
      </c>
      <c r="T60" s="9" t="inlineStr">
        <is>
          <t>Add pull_request workflows: tests, lint, `yarn audit`/`pip-audit`, CodeQL, gitleaks, Trivy; enable Dependabot for npm, pip, docker and actions.</t>
        </is>
      </c>
      <c r="U60" s="9" t="inlineStr">
        <is>
          <t>Check the repository Security tab and .github folder contents.</t>
        </is>
      </c>
      <c r="V60" s="9" t="inlineStr">
        <is>
          <t>OWASP CI/CD Security Top 10; OpenSSF Scorecard</t>
        </is>
      </c>
      <c r="W60" s="11" t="inlineStr">
        <is>
          <t>OPS-005</t>
        </is>
      </c>
      <c r="X60" s="11" t="inlineStr">
        <is>
          <t>Open</t>
        </is>
      </c>
    </row>
    <row r="61">
      <c r="A61" s="11" t="inlineStr">
        <is>
          <t>BrightSideCarwash-backend</t>
        </is>
      </c>
      <c r="B61" s="11" t="inlineStr">
        <is>
          <t>PRIV-001</t>
        </is>
      </c>
      <c r="C61" s="11" t="inlineStr">
        <is>
          <t>Privacy &amp; Compliance</t>
        </is>
      </c>
      <c r="D61" s="11" t="inlineStr">
        <is>
          <t>Retention / Erasure / Third-party sharing</t>
        </is>
      </c>
      <c r="E61" s="11" t="inlineStr">
        <is>
          <t>Risk</t>
        </is>
      </c>
      <c r="F61" s="9" t="inlineStr">
        <is>
          <t>Customer PII and chat transcripts have no retention, deletion or consent path</t>
        </is>
      </c>
      <c r="G61" s="9" t="inlineStr">
        <is>
          <t>The system stores names, emails, phones, vehicles, quotes, email logs and complete chatbot conversations (JSONB) indefinitely. Django defines SessionService.delete_session but exposes no delete route, there is no retention job, and Nest has only hard deletes for individual leads. Chat content and customer text are sent to OpenAI (and email to Gemini/OpenAI for embeddings), and booking data to Square/Brevo, with no consent capture or documented data-processing basis in code. Searched both apps for retention/anonymize/consent logic: none found.</t>
        </is>
      </c>
      <c r="H61" s="12" t="inlineStr">
        <is>
          <t>def delete_session(self, session_id) -&gt; None:
    if not self.repository.delete(session_id):</t>
        </is>
      </c>
      <c r="I61" s="11" t="inlineStr">
        <is>
          <t>Medium</t>
        </is>
      </c>
      <c r="J61" s="11" t="inlineStr">
        <is>
          <t>Medium</t>
        </is>
      </c>
      <c r="K61" s="11" t="inlineStr">
        <is>
          <t>Medium</t>
        </is>
      </c>
      <c r="L61" s="11" t="inlineStr">
        <is>
          <t>L</t>
        </is>
      </c>
      <c r="M61" s="11" t="inlineStr">
        <is>
          <t>No</t>
        </is>
      </c>
      <c r="N61" s="11" t="inlineStr">
        <is>
          <t>django-app: Chatbot &amp; Sessions</t>
        </is>
      </c>
      <c r="O61" s="11" t="inlineStr">
        <is>
          <t>apps/django-app/apps/sessions/services.py</t>
        </is>
      </c>
      <c r="P61" s="11" t="inlineStr">
        <is>
          <t>82-83</t>
        </is>
      </c>
      <c r="Q61" s="9" t="inlineStr">
        <is>
          <t>apps/nest-app/src/modules/application/quote/quote.service.ts:26
apps/django-app/utils/llm/llm_client.py:43</t>
        </is>
      </c>
      <c r="R61" s="11" t="n">
        <v>3</v>
      </c>
      <c r="S61" s="9" t="inlineStr">
        <is>
          <t>Regulatory exposure (CCPA/GDPR-style access and erasure requests), larger blast radius on any breach.</t>
        </is>
      </c>
      <c r="T61" s="9" t="inlineStr">
        <is>
          <t>Define retention periods, add erasure endpoints/jobs (chat sessions, quotes, leads, email logs), add consent text on chat/quote forms, minimise data sent to LLM providers, document processors.</t>
        </is>
      </c>
      <c r="U61" s="9" t="inlineStr">
        <is>
          <t>Search for delete/purge routes for customers and chat sessions and for scheduled cleanup jobs.</t>
        </is>
      </c>
      <c r="V61" s="9" t="inlineStr">
        <is>
          <t>GDPR Art. 5(1)(e), 17; CCPA 1798.105</t>
        </is>
      </c>
      <c r="W61" s="11" t="inlineStr">
        <is>
          <t>AUTH-001</t>
        </is>
      </c>
      <c r="X61" s="11" t="inlineStr">
        <is>
          <t>Open</t>
        </is>
      </c>
    </row>
    <row r="62">
      <c r="A62" s="11" t="inlineStr">
        <is>
          <t>BrightSideCarwash-backend</t>
        </is>
      </c>
      <c r="B62" s="11" t="inlineStr">
        <is>
          <t>SEC-004</t>
        </is>
      </c>
      <c r="C62" s="11" t="inlineStr">
        <is>
          <t>Security</t>
        </is>
      </c>
      <c r="D62" s="11" t="inlineStr">
        <is>
          <t>Insecure File Upload Validation</t>
        </is>
      </c>
      <c r="E62" s="11" t="inlineStr">
        <is>
          <t>Vulnerability</t>
        </is>
      </c>
      <c r="F62" s="9" t="inlineStr">
        <is>
          <t>Uploads trust client MIME type and extension and are served same-origin</t>
        </is>
      </c>
      <c r="G62" s="9" t="inlineStr">
        <is>
          <t>Across the admin modules, file filters check only `file.mimetype.startsWith('image/')` (client-controlled) or nothing at all (template upload-image), and stored names keep the caller-supplied extension (`extname(file.originalname)`). Magic-byte validation exists only for the profile avatar. An authenticated user with lead/gallery/template permissions can upload `x.html`/`x.svg` labelled image/png, which is then served by the API under /storage or /public with a type derived from the extension, giving stored XSS on the API origin. Lead attachments also allow application/pdf by the same weak check. Note: lead.controller imports extname from 'path/win32'.</t>
        </is>
      </c>
      <c r="H62" s="12" t="inlineStr">
        <is>
          <t xml:space="preserve">  (!file.mimetype.startsWith('image/') &amp;&amp; file.mimetype !== 'application/pdf')
) {
  return cb(new Error('Files should be images or PDFs'), false);</t>
        </is>
      </c>
      <c r="I62" s="11" t="inlineStr">
        <is>
          <t>Medium</t>
        </is>
      </c>
      <c r="J62" s="11" t="inlineStr">
        <is>
          <t>Medium</t>
        </is>
      </c>
      <c r="K62" s="11" t="inlineStr">
        <is>
          <t>High</t>
        </is>
      </c>
      <c r="L62" s="11" t="inlineStr">
        <is>
          <t>M</t>
        </is>
      </c>
      <c r="M62" s="11" t="inlineStr">
        <is>
          <t>No</t>
        </is>
      </c>
      <c r="N62" s="11" t="inlineStr">
        <is>
          <t>nest-app: Admin CRM (leads, campaigns, email, team, roles, reports)</t>
        </is>
      </c>
      <c r="O62" s="11" t="inlineStr">
        <is>
          <t>apps/nest-app/src/modules/admin/lead/lead.controller.ts</t>
        </is>
      </c>
      <c r="P62" s="11" t="inlineStr">
        <is>
          <t>55-57</t>
        </is>
      </c>
      <c r="Q62" s="9" t="inlineStr">
        <is>
          <t>apps/nest-app/src/modules/admin/gallery/gallery.controller.ts:35
apps/nest-app/src/modules/admin/template/template.controller.ts:69
apps/nest-app/src/modules/admin/testimonial/testimonial.controller.ts:33
apps/nest-app/src/modules/admin/stage/stage.controller.ts:37
apps/nest-app/src/modules/admin/news-and-events/news-and-events.controller.ts:90
apps/nest-app/src/modules/admin/sections/files.admin.controller.ts:65
apps/nest-app/src/modules/admin/email-management/email-management.controller.ts:40
apps/nest-app/src/modules/admin/wash-with-purpose-faq/wash-with-purpose-faq.controller.ts:63
apps/nest-app/src/modules/admin/lead/lead.controller.ts:21</t>
        </is>
      </c>
      <c r="R62" s="11" t="n">
        <v>10</v>
      </c>
      <c r="S62" s="9" t="inlineStr">
        <is>
          <t>Stored XSS / content hosting on the API origin (limited to accounts that can upload), plus malicious file distribution to staff who open lead attachments.</t>
        </is>
      </c>
      <c r="T62" s="9" t="inlineStr">
        <is>
          <t>Create one shared upload interceptor: allow-list extensions, verify magic bytes with file-type, generate the extension from the detected type, enforce limits.fileSize, store with a forced safe Content-Type/`nosniff`, and serve user content from a separate domain/bucket. Remove SVG/HTML from allowed types.</t>
        </is>
      </c>
      <c r="U62" s="9" t="inlineStr">
        <is>
          <t>As a user with lead:create, upload `poc.html` with Content-Type image/png to POST /api/admin/lead, then request the returned attachment URL and observe text/html rendering.</t>
        </is>
      </c>
      <c r="V62" s="9" t="inlineStr">
        <is>
          <t>CWE-434, CWE-79; OWASP ASVS 12.1-12.5</t>
        </is>
      </c>
      <c r="W62" s="11" t="n"/>
      <c r="X62" s="11" t="inlineStr">
        <is>
          <t>Open</t>
        </is>
      </c>
    </row>
    <row r="63">
      <c r="A63" s="11" t="inlineStr">
        <is>
          <t>BrightSideCarwash-backend</t>
        </is>
      </c>
      <c r="B63" s="11" t="inlineStr">
        <is>
          <t>SEC-005</t>
        </is>
      </c>
      <c r="C63" s="11" t="inlineStr">
        <is>
          <t>Security</t>
        </is>
      </c>
      <c r="D63" s="11" t="inlineStr">
        <is>
          <t>CSV/Formula Injection</t>
        </is>
      </c>
      <c r="E63" s="11" t="inlineStr">
        <is>
          <t>Vulnerability</t>
        </is>
      </c>
      <c r="F63" s="9" t="inlineStr">
        <is>
          <t>Lead exports do not neutralize spreadsheet formulas from public form data</t>
        </is>
      </c>
      <c r="G63" s="9" t="inlineStr">
        <is>
          <t>Lead name, email, phone, service and source originate from the anonymous quote form and booking checkout. exportLeadsStream writes them to CSV (only quotes are doubled) and XLSX cells verbatim. A value like `=HYPERLINK(...)` or `@SUM(...)` executes when staff open the export in Excel/Sheets.</t>
        </is>
      </c>
      <c r="H63" s="12" t="inlineStr">
        <is>
          <t>`"${name.replace(/"/g, '""')}"`,
`"${(lead.email || '').replace(/"/g, '""')}"`,
`"${(lead.phone || '').replace(/"/g, '""')}"`,</t>
        </is>
      </c>
      <c r="I63" s="11" t="inlineStr">
        <is>
          <t>Medium</t>
        </is>
      </c>
      <c r="J63" s="11" t="inlineStr">
        <is>
          <t>Medium</t>
        </is>
      </c>
      <c r="K63" s="11" t="inlineStr">
        <is>
          <t>High</t>
        </is>
      </c>
      <c r="L63" s="11" t="inlineStr">
        <is>
          <t>S</t>
        </is>
      </c>
      <c r="M63" s="11" t="inlineStr">
        <is>
          <t>No</t>
        </is>
      </c>
      <c r="N63" s="11" t="inlineStr">
        <is>
          <t>nest-app: Admin CRM (leads, campaigns, email, team, roles, reports)</t>
        </is>
      </c>
      <c r="O63" s="11" t="inlineStr">
        <is>
          <t>apps/nest-app/src/modules/admin/lead/lead.service.ts</t>
        </is>
      </c>
      <c r="P63" s="11" t="inlineStr">
        <is>
          <t>293-295</t>
        </is>
      </c>
      <c r="Q63" s="9" t="inlineStr">
        <is>
          <t>apps/nest-app/src/modules/admin/lead/lead.service.ts:246</t>
        </is>
      </c>
      <c r="R63" s="11" t="n">
        <v>2</v>
      </c>
      <c r="S63" s="9" t="inlineStr">
        <is>
          <t>Client-side code/data exfiltration from staff workstations, phishing via crafted cells.</t>
        </is>
      </c>
      <c r="T63" s="9" t="inlineStr">
        <is>
          <t>Prefix cells beginning with = + - @ tab or CR with a single quote (or set exceljs cell type to string), apply to every export/report writer.</t>
        </is>
      </c>
      <c r="U63" s="9" t="inlineStr">
        <is>
          <t>Submit a quote with full_name `=1+1`, export leads as CSV/XLSX and open it: the cell evaluates.</t>
        </is>
      </c>
      <c r="V63" s="9" t="inlineStr">
        <is>
          <t>CWE-1236; OWASP CSV Injection</t>
        </is>
      </c>
      <c r="W63" s="11" t="n"/>
      <c r="X63" s="11" t="inlineStr">
        <is>
          <t>Open</t>
        </is>
      </c>
    </row>
    <row r="64">
      <c r="A64" s="11" t="inlineStr">
        <is>
          <t>BrightSideCarwash-backend</t>
        </is>
      </c>
      <c r="B64" s="11" t="inlineStr">
        <is>
          <t>SEC-006</t>
        </is>
      </c>
      <c r="C64" s="11" t="inlineStr">
        <is>
          <t>Security</t>
        </is>
      </c>
      <c r="D64" s="11" t="inlineStr">
        <is>
          <t>Sensitive Files in Public Path</t>
        </is>
      </c>
      <c r="E64" s="11" t="inlineStr">
        <is>
          <t>Risk</t>
        </is>
      </c>
      <c r="F64" s="9" t="inlineStr">
        <is>
          <t>Lead attachments (customer PDFs/images) are served without access control</t>
        </is>
      </c>
      <c r="G64" s="9" t="inlineStr">
        <is>
          <t>With the local driver, lead attachments are stored under ./public/storage/lead/ and main.ts exposes the whole storage tree to anonymous users at /storage (and again via /public/storage). File names are `Date.now()-Math.random().toString(16)` values, so protection relies on obscurity with a weak PRNG. URLs are also returned in API responses and can be shared or logged.</t>
        </is>
      </c>
      <c r="H64" s="12" t="inlineStr">
        <is>
          <t>prefix: '/storage',</t>
        </is>
      </c>
      <c r="I64" s="11" t="inlineStr">
        <is>
          <t>Medium</t>
        </is>
      </c>
      <c r="J64" s="11" t="inlineStr">
        <is>
          <t>Medium</t>
        </is>
      </c>
      <c r="K64" s="11" t="inlineStr">
        <is>
          <t>Medium</t>
        </is>
      </c>
      <c r="L64" s="11" t="inlineStr">
        <is>
          <t>L</t>
        </is>
      </c>
      <c r="M64" s="11" t="inlineStr">
        <is>
          <t>No</t>
        </is>
      </c>
      <c r="N64" s="11" t="inlineStr">
        <is>
          <t>nest-app: Platform (config, storage, mail, notifications, logging, Prisma)</t>
        </is>
      </c>
      <c r="O64" s="11" t="inlineStr">
        <is>
          <t>apps/nest-app/src/main.ts</t>
        </is>
      </c>
      <c r="P64" s="11" t="inlineStr">
        <is>
          <t>89</t>
        </is>
      </c>
      <c r="Q64" s="9" t="inlineStr">
        <is>
          <t>apps/nest-app/src/modules/admin/lead/lead.controller.ts:78
apps/nest-app/src/config/app.config.ts:115</t>
        </is>
      </c>
      <c r="R64" s="11" t="n">
        <v>3</v>
      </c>
      <c r="S64" s="9" t="inlineStr">
        <is>
          <t>Customer documents may be retrievable by anyone who obtains or brute-forces a URL; no audit of who downloaded them.</t>
        </is>
      </c>
      <c r="T64" s="9" t="inlineStr">
        <is>
          <t>Store private attachments in a private bucket (or non-served directory) and expose them via authenticated download routes or short-lived signed URLs; use crypto.randomUUID for names.</t>
        </is>
      </c>
      <c r="U64" s="9" t="inlineStr">
        <is>
          <t>Create a lead with a PDF attachment, copy the returned URL and fetch it without any Authorization header.</t>
        </is>
      </c>
      <c r="V64" s="9" t="inlineStr">
        <is>
          <t>CWE-552; OWASP API Top 10 2023 API1/API8</t>
        </is>
      </c>
      <c r="W64" s="11" t="inlineStr">
        <is>
          <t>SEC-004</t>
        </is>
      </c>
      <c r="X64" s="11" t="inlineStr">
        <is>
          <t>Open</t>
        </is>
      </c>
    </row>
    <row r="65">
      <c r="A65" s="11" t="inlineStr">
        <is>
          <t>BrightSideCarwash-backend</t>
        </is>
      </c>
      <c r="B65" s="11" t="inlineStr">
        <is>
          <t>SEC-007</t>
        </is>
      </c>
      <c r="C65" s="11" t="inlineStr">
        <is>
          <t>Security</t>
        </is>
      </c>
      <c r="D65" s="11" t="inlineStr">
        <is>
          <t>WebSocket Hardening</t>
        </is>
      </c>
      <c r="E65" s="11" t="inlineStr">
        <is>
          <t>Risk</t>
        </is>
      </c>
      <c r="F65" s="9" t="inlineStr">
        <is>
          <t>Notification WebSocket allows any origin, ignores session revocation and accepts 100 MB frames</t>
        </is>
      </c>
      <c r="G65" s="9" t="inlineStr">
        <is>
          <t>The gateway is configured with cors origin '*' and maxHttpBufferSize 1e8. handleConnection verifies the JWT signature with jsonwebtoken directly and never consults the Redis session blacklist or user status, so blocked/logged-out users keep receiving realtime notifications for the (effectively unlimited) token lifetime. Anonymous clients can open connections until the token check runs, and 100 MB buffers enable memory pressure.</t>
        </is>
      </c>
      <c r="H65" s="12" t="inlineStr">
        <is>
          <t>cors: { origin: '*' },
namespace: 'notifications',
maxHttpBufferSize: 1e8, // 100MB</t>
        </is>
      </c>
      <c r="I65" s="11" t="inlineStr">
        <is>
          <t>Medium</t>
        </is>
      </c>
      <c r="J65" s="11" t="inlineStr">
        <is>
          <t>Medium</t>
        </is>
      </c>
      <c r="K65" s="11" t="inlineStr">
        <is>
          <t>High</t>
        </is>
      </c>
      <c r="L65" s="11" t="inlineStr">
        <is>
          <t>M</t>
        </is>
      </c>
      <c r="M65" s="11" t="inlineStr">
        <is>
          <t>No</t>
        </is>
      </c>
      <c r="N65" s="11" t="inlineStr">
        <is>
          <t>nest-app: Platform (config, storage, mail, notifications, logging, Prisma)</t>
        </is>
      </c>
      <c r="O65" s="11" t="inlineStr">
        <is>
          <t>apps/nest-app/src/modules/notification/gateway/notification.gateway.ts</t>
        </is>
      </c>
      <c r="P65" s="11" t="inlineStr">
        <is>
          <t>13-15</t>
        </is>
      </c>
      <c r="Q65" s="9" t="inlineStr">
        <is>
          <t>apps/nest-app/src/modules/notification/gateway/notification.gateway.ts:27</t>
        </is>
      </c>
      <c r="R65" s="11" t="n">
        <v>2</v>
      </c>
      <c r="S65" s="9" t="inlineStr">
        <is>
          <t>Continued data feed to revoked users; DoS surface.</t>
        </is>
      </c>
      <c r="T65" s="9" t="inlineStr">
        <is>
          <t>Restrict origins to CROSS_ORIGINS, reduce maxHttpBufferSize (e.g. 1e5), reuse JwtAuthGuard logic (blacklist check + status), declare jsonwebtoken as a dependency or use JwtService.</t>
        </is>
      </c>
      <c r="U65" s="9" t="inlineStr">
        <is>
          <t>Log out (blacklist session) then connect to /notifications with the old access token; the connection is accepted.</t>
        </is>
      </c>
      <c r="V65" s="9" t="inlineStr">
        <is>
          <t>CWE-346, CWE-613; OWASP API Top 10 2023 API2</t>
        </is>
      </c>
      <c r="W65" s="11" t="inlineStr">
        <is>
          <t>AUTH-003</t>
        </is>
      </c>
      <c r="X65" s="11" t="inlineStr">
        <is>
          <t>Open</t>
        </is>
      </c>
    </row>
    <row r="66">
      <c r="A66" s="11" t="inlineStr">
        <is>
          <t>BrightSideCarwash-backend</t>
        </is>
      </c>
      <c r="B66" s="11" t="inlineStr">
        <is>
          <t>SEC-009</t>
        </is>
      </c>
      <c r="C66" s="11" t="inlineStr">
        <is>
          <t>Security</t>
        </is>
      </c>
      <c r="D66" s="11" t="inlineStr">
        <is>
          <t>Missing Anti-Automation</t>
        </is>
      </c>
      <c r="E66" s="11" t="inlineStr">
        <is>
          <t>Risk</t>
        </is>
      </c>
      <c r="F66" s="9" t="inlineStr">
        <is>
          <t>Public checkout, slot-lock and quote endpoints rely only on per-IP throttling</t>
        </is>
      </c>
      <c r="G66" s="9" t="inlineStr">
        <is>
          <t>POST /appointments/checkout accepts any Square sourceId from anonymous callers, POST /appointments/lock creates a 10 minute Redis hold on any slot with an arbitrary cartId, and POST /quote creates leads and quotes. There is no CAPTCHA, no per-slot/per-email quota, and the in-memory throttler is keyed per IP. This enables card-testing against the merchant account, slot hoarding that blocks legitimate customers, and lead/quote spam.</t>
        </is>
      </c>
      <c r="H66" s="12" t="inlineStr">
        <is>
          <t>@Post('checkout')</t>
        </is>
      </c>
      <c r="I66" s="11" t="inlineStr">
        <is>
          <t>Medium</t>
        </is>
      </c>
      <c r="J66" s="11" t="inlineStr">
        <is>
          <t>Medium</t>
        </is>
      </c>
      <c r="K66" s="11" t="inlineStr">
        <is>
          <t>Medium</t>
        </is>
      </c>
      <c r="L66" s="11" t="inlineStr">
        <is>
          <t>L</t>
        </is>
      </c>
      <c r="M66" s="11" t="inlineStr">
        <is>
          <t>No</t>
        </is>
      </c>
      <c r="N66" s="11" t="inlineStr">
        <is>
          <t>nest-app: Booking &amp; Payments (Square)</t>
        </is>
      </c>
      <c r="O66" s="11" t="inlineStr">
        <is>
          <t>apps/nest-app/src/modules/application/booking/square-booking.controller.ts</t>
        </is>
      </c>
      <c r="P66" s="11" t="inlineStr">
        <is>
          <t>163</t>
        </is>
      </c>
      <c r="Q66" s="9" t="inlineStr">
        <is>
          <t>apps/nest-app/src/modules/application/booking/square-booking.controller.ts:118
apps/nest-app/src/modules/application/quote/quote.controller.ts:11</t>
        </is>
      </c>
      <c r="R66" s="11" t="n">
        <v>3</v>
      </c>
      <c r="S66" s="9" t="inlineStr">
        <is>
          <t>Merchant account risk (card testing, chargebacks), lost bookings, polluted CRM.</t>
        </is>
      </c>
      <c r="T66" s="9" t="inlineStr">
        <is>
          <t>Add CAPTCHA/Turnstile verification on checkout, lock and quote; cap active locks per IP/email; add Square-side fraud rules; persist throttler state in Redis.</t>
        </is>
      </c>
      <c r="U66" s="9" t="inlineStr">
        <is>
          <t>Script repeated POST /appointments/lock with distinct cartIds and observe every slot becoming unavailable in /appointments/availability for 10 minutes.</t>
        </is>
      </c>
      <c r="V66" s="9" t="inlineStr">
        <is>
          <t>CWE-799; OWASP API Top 10 2023 API6 (Unrestricted Access to Sensitive Business Flows)</t>
        </is>
      </c>
      <c r="W66" s="11" t="n"/>
      <c r="X66" s="11" t="inlineStr">
        <is>
          <t>Open</t>
        </is>
      </c>
    </row>
    <row r="67">
      <c r="A67" s="11" t="inlineStr">
        <is>
          <t>BrightSideCarwash-backend</t>
        </is>
      </c>
      <c r="B67" s="11" t="inlineStr">
        <is>
          <t>TEST-001</t>
        </is>
      </c>
      <c r="C67" s="11" t="inlineStr">
        <is>
          <t>Testing</t>
        </is>
      </c>
      <c r="D67" s="11" t="inlineStr">
        <is>
          <t>Missing Tests for Critical Paths</t>
        </is>
      </c>
      <c r="E67" s="11" t="inlineStr">
        <is>
          <t>Risk</t>
        </is>
      </c>
      <c r="F67" s="9" t="inlineStr">
        <is>
          <t>Payments, booking, RBAC, webhooks and exports have no meaningful tests; CI runs none</t>
        </is>
      </c>
      <c r="G67" s="9" t="inlineStr">
        <is>
          <t>Nest has 8 unit specs plus one e2e file; most are the generated `should be defined` scaffolds (auth.service.spec, ability.factory.spec, has-plan.guard.spec) and none cover booking/checkout, the Square integration, PermissionGuard, roles/team, webhook handling, lead import/export or money calculations (searched src/**/*.spec.ts and test/). Django has ~716 lines of tests, one of which asserts that admin KB endpoints need no authentication. The deploy workflow never runs tests, and dependencies are not installed in this environment so the suites were not executed.</t>
        </is>
      </c>
      <c r="H67" s="12" t="inlineStr">
        <is>
          <t>expect(service).toBeDefined();</t>
        </is>
      </c>
      <c r="I67" s="11" t="inlineStr">
        <is>
          <t>Medium</t>
        </is>
      </c>
      <c r="J67" s="11" t="inlineStr">
        <is>
          <t>Medium</t>
        </is>
      </c>
      <c r="K67" s="11" t="inlineStr">
        <is>
          <t>High</t>
        </is>
      </c>
      <c r="L67" s="11" t="inlineStr">
        <is>
          <t>XL</t>
        </is>
      </c>
      <c r="M67" s="11" t="inlineStr">
        <is>
          <t>No</t>
        </is>
      </c>
      <c r="N67" s="11" t="inlineStr">
        <is>
          <t>Dependencies &amp; Tests</t>
        </is>
      </c>
      <c r="O67" s="11" t="inlineStr">
        <is>
          <t>apps/nest-app/src/modules/auth/auth.service.spec.ts</t>
        </is>
      </c>
      <c r="P67" s="11" t="inlineStr">
        <is>
          <t>16</t>
        </is>
      </c>
      <c r="Q67" s="9" t="inlineStr">
        <is>
          <t>apps/nest-app/src/ability/ability.factory.spec.ts:5
apps/django-app/apps/knowledgebase/tests.py:24
.github/workflows/deploy.yml:42</t>
        </is>
      </c>
      <c r="R67" s="11" t="n">
        <v>4</v>
      </c>
      <c r="S67" s="9" t="inlineStr">
        <is>
          <t>Regressions in charge amounts, authorization or idempotency reach production unnoticed (several defects in this report would be caught by basic tests).</t>
        </is>
      </c>
      <c r="T67" s="9" t="inlineStr">
        <is>
          <t>Write unit tests for money math and lock/idempotency logic with a mocked Square client, guard tests for every @RequirePermission route, contract tests for webhooks, Django auth tests (401/403), and gate deploys on them.</t>
        </is>
      </c>
      <c r="U67" s="9" t="inlineStr">
        <is>
          <t>`cd apps/nest-app &amp;&amp; yarn test:cov` after `yarn install` (coverage of src/modules/application/booking is 0%).</t>
        </is>
      </c>
      <c r="V67" s="9" t="inlineStr">
        <is>
          <t>OWASP SAMM Verification</t>
        </is>
      </c>
      <c r="W67" s="11" t="inlineStr">
        <is>
          <t>OPS-005</t>
        </is>
      </c>
      <c r="X67" s="11" t="inlineStr">
        <is>
          <t>Open</t>
        </is>
      </c>
    </row>
    <row r="68">
      <c r="A68" s="11" t="inlineStr">
        <is>
          <t>BrightSideCarwash-backend</t>
        </is>
      </c>
      <c r="B68" s="11" t="inlineStr">
        <is>
          <t>VAL-001</t>
        </is>
      </c>
      <c r="C68" s="11" t="inlineStr">
        <is>
          <t>Input Validation</t>
        </is>
      </c>
      <c r="D68" s="11" t="inlineStr">
        <is>
          <t>Unbounded Upload Size</t>
        </is>
      </c>
      <c r="E68" s="11" t="inlineStr">
        <is>
          <t>Defect</t>
        </is>
      </c>
      <c r="F68" s="9" t="inlineStr">
        <is>
          <t>Lead attachment size check is ineffective and other uploads have no limits</t>
        </is>
      </c>
      <c r="G68" s="9" t="inlineStr">
        <is>
          <t>The lead create/update file filters test `file.size &gt; 25MB`, but multer does not know the size when fileFilter runs (undefined), and no `limits.fileSize` is configured; up to 10 files are buffered in memory per request. app.controller test upload has no limit either. Express body-parser limits do not apply to multipart bodies.</t>
        </is>
      </c>
      <c r="H68" s="12" t="inlineStr">
        <is>
          <t>// check file size (max 25MB)
if (file.size &gt; 25 * 1024 * 1024) {
  return cb(new Error('File size should not exceed 25MB'), false);
}</t>
        </is>
      </c>
      <c r="I68" s="11" t="inlineStr">
        <is>
          <t>Medium</t>
        </is>
      </c>
      <c r="J68" s="11" t="inlineStr">
        <is>
          <t>Medium</t>
        </is>
      </c>
      <c r="K68" s="11" t="inlineStr">
        <is>
          <t>High</t>
        </is>
      </c>
      <c r="L68" s="11" t="inlineStr">
        <is>
          <t>S</t>
        </is>
      </c>
      <c r="M68" s="11" t="inlineStr">
        <is>
          <t>No</t>
        </is>
      </c>
      <c r="N68" s="11" t="inlineStr">
        <is>
          <t>nest-app: Admin CRM (leads, campaigns, email, team, roles, reports)</t>
        </is>
      </c>
      <c r="O68" s="11" t="inlineStr">
        <is>
          <t>apps/nest-app/src/modules/admin/lead/lead.controller.ts</t>
        </is>
      </c>
      <c r="P68" s="11" t="inlineStr">
        <is>
          <t>60-63</t>
        </is>
      </c>
      <c r="Q68" s="9" t="inlineStr">
        <is>
          <t>apps/nest-app/src/modules/admin/lead/lead.controller.ts:366
apps/nest-app/src/app.controller.ts:80</t>
        </is>
      </c>
      <c r="R68" s="11" t="n">
        <v>3</v>
      </c>
      <c r="S68" s="9" t="inlineStr">
        <is>
          <t>Authenticated memory exhaustion / crash of the single Node process that also serves payments.</t>
        </is>
      </c>
      <c r="T68" s="9" t="inlineStr">
        <is>
          <t>Set `limits: { fileSize, files }` on every FileInterceptor and remove the dead size checks.</t>
        </is>
      </c>
      <c r="U68" s="9" t="inlineStr">
        <is>
          <t>POST a 500 MB file to /api/admin/lead with a valid token; observe it is buffered and accepted until memory pressure.</t>
        </is>
      </c>
      <c r="V68" s="9" t="inlineStr">
        <is>
          <t>CWE-770, CWE-400</t>
        </is>
      </c>
      <c r="W68" s="11" t="inlineStr">
        <is>
          <t>SEC-004</t>
        </is>
      </c>
      <c r="X68" s="11" t="inlineStr">
        <is>
          <t>Open</t>
        </is>
      </c>
    </row>
    <row r="69">
      <c r="A69" s="11" t="inlineStr">
        <is>
          <t>BrightSideCarwash-website-frontend</t>
        </is>
      </c>
      <c r="B69" s="11" t="inlineStr">
        <is>
          <t>ARCH-001</t>
        </is>
      </c>
      <c r="C69" s="11" t="inlineStr">
        <is>
          <t>Architecture &amp; Design</t>
        </is>
      </c>
      <c r="D69" s="11" t="inlineStr">
        <is>
          <t>Fragmented State Ownership</t>
        </is>
      </c>
      <c r="E69" s="11" t="inlineStr">
        <is>
          <t>Tech Debt</t>
        </is>
      </c>
      <c r="F69" s="9" t="inlineStr">
        <is>
          <t>Booking state is spread across URL params, React context, localStorage and sessionStorage</t>
        </is>
      </c>
      <c r="G69" s="9" t="inlineStr">
        <is>
          <t>The wizard keeps step/date/time/startAt/teamMemberId in the URL, services/location/lock token/timestamp/last booking in BookingContext mirrored to five localStorage keys, the cart id and availability cache in sessionStorage, and lock release logic in three places. There is no single source of truth or state machine, which produces the defects in VAL-001, BUG-003 and stale-closure effects (empty deps arrays in useCheckoutLock and BookingPageWrapper).</t>
        </is>
      </c>
      <c r="H69" s="12" t="inlineStr">
        <is>
          <t>useEffect(() =&gt; {...lock(...)}, []);  // useCheckoutLock
useEffect(() =&gt; {... release(selectedLocation, startAt)}, [step]);</t>
        </is>
      </c>
      <c r="I69" s="11" t="inlineStr">
        <is>
          <t>Medium</t>
        </is>
      </c>
      <c r="J69" s="11" t="inlineStr">
        <is>
          <t>Medium</t>
        </is>
      </c>
      <c r="K69" s="11" t="inlineStr">
        <is>
          <t>Medium</t>
        </is>
      </c>
      <c r="L69" s="11" t="inlineStr">
        <is>
          <t>XL</t>
        </is>
      </c>
      <c r="M69" s="11" t="inlineStr">
        <is>
          <t>No</t>
        </is>
      </c>
      <c r="N69" s="11" t="inlineStr">
        <is>
          <t>Booking &amp; Checkout</t>
        </is>
      </c>
      <c r="O69" s="11" t="inlineStr">
        <is>
          <t>src/contexts/BookingContext.tsx</t>
        </is>
      </c>
      <c r="P69" s="11" t="inlineStr">
        <is>
          <t>42-186</t>
        </is>
      </c>
      <c r="Q69" s="9" t="inlineStr">
        <is>
          <t>src/hooks/useCheckoutLock.ts:17-21; src/components/pages/booking/BookingPageWrapper.tsx:44-80</t>
        </is>
      </c>
      <c r="R69" s="11" t="n">
        <v>3</v>
      </c>
      <c r="S69" s="9" t="inlineStr">
        <is>
          <t>Fragile checkout that is hard to test or extend (e.g. adding add-ons or multiple vehicles).</t>
        </is>
      </c>
      <c r="T69" s="9" t="inlineStr">
        <is>
          <t>Model the flow with a reducer/state machine (or Zustand), keep only step in the URL, persist a minimal validated snapshot, and centralise lock lifecycle in one hook.</t>
        </is>
      </c>
      <c r="U69" s="9" t="inlineStr">
        <is>
          <t>Follow the data flow of lockToken across BookingContext, useBookingLock, useCheckoutLock and BookingPageWrapper.</t>
        </is>
      </c>
      <c r="V69" s="9" t="n"/>
      <c r="W69" s="11" t="inlineStr">
        <is>
          <t>TEST-001</t>
        </is>
      </c>
      <c r="X69" s="11" t="inlineStr">
        <is>
          <t>Open</t>
        </is>
      </c>
    </row>
    <row r="70">
      <c r="A70" s="11" t="inlineStr">
        <is>
          <t>BrightSideCarwash-website-frontend</t>
        </is>
      </c>
      <c r="B70" s="11" t="inlineStr">
        <is>
          <t>BUG-001</t>
        </is>
      </c>
      <c r="C70" s="11" t="inlineStr">
        <is>
          <t>Bug / Correctness</t>
        </is>
      </c>
      <c r="D70" s="11" t="inlineStr">
        <is>
          <t>Timezone / Date Handling</t>
        </is>
      </c>
      <c r="E70" s="11" t="inlineStr">
        <is>
          <t>Defect</t>
        </is>
      </c>
      <c r="F70" s="9" t="inlineStr">
        <is>
          <t>Slot dates and time-of-day groups use UTC date / browser timezone, not location timezone</t>
        </is>
      </c>
      <c r="G70" s="9" t="inlineStr">
        <is>
          <t>Availability slots come back as ISO UTC strings. The date key is taken with startAt.split('T')[0] (a UTC date) and slots are matched by startAt.startsWith(dateStr), so an evening Central-time slot that falls after 00:00 UTC is filed under the next calendar day. Morning/Afternoon/Evening grouping and the displayed times use new Date(...).getHours()/format() in the browser's timezone, so a customer outside the location's timezone sees shifted times for a physical, timezone-fixed location (Naperville, IL).</t>
        </is>
      </c>
      <c r="H70" s="12" t="inlineStr">
        <is>
          <t>accumulatedDates.add(s.startAt.split("T")[0]);
...
(s) =&gt; s.startAt.startsWith(dateStr)
const hour = new Date(slot.startAt).getHours();</t>
        </is>
      </c>
      <c r="I70" s="11" t="inlineStr">
        <is>
          <t>Medium</t>
        </is>
      </c>
      <c r="J70" s="11" t="inlineStr">
        <is>
          <t>Medium</t>
        </is>
      </c>
      <c r="K70" s="11" t="inlineStr">
        <is>
          <t>Medium</t>
        </is>
      </c>
      <c r="L70" s="11" t="inlineStr">
        <is>
          <t>M</t>
        </is>
      </c>
      <c r="M70" s="11" t="inlineStr">
        <is>
          <t>No</t>
        </is>
      </c>
      <c r="N70" s="11" t="inlineStr">
        <is>
          <t>Booking &amp; Checkout</t>
        </is>
      </c>
      <c r="O70" s="11" t="inlineStr">
        <is>
          <t>src/hooks/useAvailableDates.ts</t>
        </is>
      </c>
      <c r="P70" s="11" t="inlineStr">
        <is>
          <t>145</t>
        </is>
      </c>
      <c r="Q70" s="9" t="inlineStr">
        <is>
          <t>src/hooks/useAvailableDates.ts:212; src/hooks/useSlotGrouping.ts:11; src/components/pages/booking/DateTimeStep.tsx:100; src/components/pages/booking/TimeSlotList.tsx:35; src/components/pages/booking/CheckoutStep.tsx:149-153</t>
        </is>
      </c>
      <c r="R70" s="11" t="n">
        <v>6</v>
      </c>
      <c r="S70" s="9" t="inlineStr">
        <is>
          <t>Late-day slots appear under the wrong day; travelers or remote visitors see and book wrong local times. Leads to no-shows and support load. Severity depends on store hours near 19:00 CT and on the API's returned startAt format (runtime not tested).</t>
        </is>
      </c>
      <c r="T70" s="9" t="inlineStr">
        <is>
          <t>Use the location's IANA timezone (from locations API) with date-fns-tz / Intl.DateTimeFormat({timeZone}) for day keys, grouping and display; show the timezone label in the UI.</t>
        </is>
      </c>
      <c r="U70" s="9" t="inlineStr">
        <is>
          <t>Set OS/browser timezone to Asia/Dhaka or America/Los_Angeles, open /booking, and compare listed times/days against the API's raw startAt values and the location's local time.</t>
        </is>
      </c>
      <c r="V70" s="9" t="inlineStr">
        <is>
          <t>CWE-1289 (time handling); MDN Date/Intl</t>
        </is>
      </c>
      <c r="W70" s="11" t="n"/>
      <c r="X70" s="11" t="inlineStr">
        <is>
          <t>Open</t>
        </is>
      </c>
    </row>
    <row r="71">
      <c r="A71" s="11" t="inlineStr">
        <is>
          <t>BrightSideCarwash-website-frontend</t>
        </is>
      </c>
      <c r="B71" s="11" t="inlineStr">
        <is>
          <t>BUG-002</t>
        </is>
      </c>
      <c r="C71" s="11" t="inlineStr">
        <is>
          <t>Bug / Correctness</t>
        </is>
      </c>
      <c r="D71" s="11" t="inlineStr">
        <is>
          <t>Timezone / Date Handling</t>
        </is>
      </c>
      <c r="E71" s="11" t="inlineStr">
        <is>
          <t>Defect</t>
        </is>
      </c>
      <c r="F71" s="9" t="inlineStr">
        <is>
          <t>Date-only 'yyyy-MM-dd' strings parsed as UTC show the previous day in US timezones</t>
        </is>
      </c>
      <c r="G71" s="9" t="inlineStr">
        <is>
          <t>new Date('2026-10-01') is parsed as UTC midnight. In US timezones the local date is then 09-30, so AppointmentSummary shows the previous day, and DateTimeStep initialises its selected date from the date query param the same way (while goToNextAvailable elsewhere correctly appends T00:00:00, showing the inconsistency).</t>
        </is>
      </c>
      <c r="H71" s="12" t="inlineStr">
        <is>
          <t>const date = dateParam ? new Date(dateParam) : startAt ? new Date(startAt) : null;
const dateDisplay = date ? format(date, 'MMMM d, yyyy') : '';</t>
        </is>
      </c>
      <c r="I71" s="11" t="inlineStr">
        <is>
          <t>Medium</t>
        </is>
      </c>
      <c r="J71" s="11" t="inlineStr">
        <is>
          <t>Medium</t>
        </is>
      </c>
      <c r="K71" s="11" t="inlineStr">
        <is>
          <t>High</t>
        </is>
      </c>
      <c r="L71" s="11" t="inlineStr">
        <is>
          <t>S</t>
        </is>
      </c>
      <c r="M71" s="11" t="inlineStr">
        <is>
          <t>No</t>
        </is>
      </c>
      <c r="N71" s="11" t="inlineStr">
        <is>
          <t>Booking &amp; Checkout</t>
        </is>
      </c>
      <c r="O71" s="11" t="inlineStr">
        <is>
          <t>src/components/pages/booking/AppointmentSummary.tsx</t>
        </is>
      </c>
      <c r="P71" s="11" t="inlineStr">
        <is>
          <t>24-26</t>
        </is>
      </c>
      <c r="Q71" s="9" t="inlineStr">
        <is>
          <t>src/components/pages/booking/DateTimeStep.tsx:30 (contrast with :135 which uses + 'T00:00:00')</t>
        </is>
      </c>
      <c r="R71" s="11" t="n">
        <v>2</v>
      </c>
      <c r="S71" s="9" t="inlineStr">
        <is>
          <t>Appointment Summary can display a different day than the one the customer selected, on the page immediately before payment.</t>
        </is>
      </c>
      <c r="T71" s="9" t="inlineStr">
        <is>
          <t>Parse with date-fns parseISO / parse(dateParam,'yyyy-MM-dd',new Date()) or append 'T00:00:00' consistently; centralise in one helper.</t>
        </is>
      </c>
      <c r="U71" s="9" t="inlineStr">
        <is>
          <t>In a browser set to America/Chicago, open /booking?step=checkout&amp;date=2026-10-01&amp;startAt=2026-10-01T15:00:00Z and read the summary date (renders Sep 30 or Oct 1 depending on branch).</t>
        </is>
      </c>
      <c r="V71" s="9" t="inlineStr">
        <is>
          <t>MDN Date.parse (date-only forms are UTC)</t>
        </is>
      </c>
      <c r="W71" s="11" t="n"/>
      <c r="X71" s="11" t="inlineStr">
        <is>
          <t>Open</t>
        </is>
      </c>
    </row>
    <row r="72">
      <c r="A72" s="11" t="inlineStr">
        <is>
          <t>BrightSideCarwash-website-frontend</t>
        </is>
      </c>
      <c r="B72" s="11" t="inlineStr">
        <is>
          <t>BUG-003</t>
        </is>
      </c>
      <c r="C72" s="11" t="inlineStr">
        <is>
          <t>Bug / Correctness</t>
        </is>
      </c>
      <c r="D72" s="11" t="inlineStr">
        <is>
          <t>Missing Required Value</t>
        </is>
      </c>
      <c r="E72" s="11" t="inlineStr">
        <is>
          <t>Defect</t>
        </is>
      </c>
      <c r="F72" s="9" t="inlineStr">
        <is>
          <t>Checkout can send a blank teamMemberId (and blank startAt) to the backend</t>
        </is>
      </c>
      <c r="G72" s="9" t="inlineStr">
        <is>
          <t>teamMemberId is read from the query string with an empty-string fallback and placed into every cartItem; DateTimeStep also writes '' when appointmentSegments is empty. startAt likewise falls back to ''. Checkout does not verify these are non-empty before tokenizing the card and charging.</t>
        </is>
      </c>
      <c r="H72" s="12" t="inlineStr">
        <is>
          <t>const teamMemberId = searchParams.get("teamMemberId") || "";
cartItems: selectedServices.map((s) =&gt; ({ serviceVariationId: s.variationId, teamMemberId }))</t>
        </is>
      </c>
      <c r="I72" s="11" t="inlineStr">
        <is>
          <t>Medium</t>
        </is>
      </c>
      <c r="J72" s="11" t="inlineStr">
        <is>
          <t>Medium</t>
        </is>
      </c>
      <c r="K72" s="11" t="inlineStr">
        <is>
          <t>Medium</t>
        </is>
      </c>
      <c r="L72" s="11" t="inlineStr">
        <is>
          <t>S</t>
        </is>
      </c>
      <c r="M72" s="11" t="inlineStr">
        <is>
          <t>No</t>
        </is>
      </c>
      <c r="N72" s="11" t="inlineStr">
        <is>
          <t>Booking &amp; Checkout</t>
        </is>
      </c>
      <c r="O72" s="11" t="inlineStr">
        <is>
          <t>src/components/pages/booking/CheckoutStep.tsx</t>
        </is>
      </c>
      <c r="P72" s="11" t="inlineStr">
        <is>
          <t>68-69, 127-134</t>
        </is>
      </c>
      <c r="Q72" s="9" t="inlineStr">
        <is>
          <t>src/components/pages/booking/DateTimeStep.tsx:108</t>
        </is>
      </c>
      <c r="R72" s="11" t="n">
        <v>2</v>
      </c>
      <c r="S72" s="9" t="inlineStr">
        <is>
          <t>A reloaded or hand-edited checkout URL can lead to the card being tokenized and a request failing (or worse, a booking created with no staff assignment) depending on backend validation.</t>
        </is>
      </c>
      <c r="T72" s="9" t="inlineStr">
        <is>
          <t>Block Pay (and skip tokenization) unless startAt, teamMemberId, locationId and lockToken are present; recover by redirecting to the date/time step.</t>
        </is>
      </c>
      <c r="U72" s="9" t="inlineStr">
        <is>
          <t>Open /booking?step=checkout without startAt/teamMemberId in the query while holding a lock and press Confirm &amp; Pay; inspect the network payload.</t>
        </is>
      </c>
      <c r="V72" s="9" t="inlineStr">
        <is>
          <t>CWE-20</t>
        </is>
      </c>
      <c r="W72" s="11" t="inlineStr">
        <is>
          <t>VAL-001</t>
        </is>
      </c>
      <c r="X72" s="11" t="inlineStr">
        <is>
          <t>Open</t>
        </is>
      </c>
    </row>
    <row r="73">
      <c r="A73" s="11" t="inlineStr">
        <is>
          <t>BrightSideCarwash-website-frontend</t>
        </is>
      </c>
      <c r="B73" s="11" t="inlineStr">
        <is>
          <t>CFG-001</t>
        </is>
      </c>
      <c r="C73" s="11" t="inlineStr">
        <is>
          <t>Configuration &amp; Environment</t>
        </is>
      </c>
      <c r="D73" s="11" t="inlineStr">
        <is>
          <t>Missing Config Validation</t>
        </is>
      </c>
      <c r="E73" s="11" t="inlineStr">
        <is>
          <t>Risk</t>
        </is>
      </c>
      <c r="F73" s="9" t="inlineStr">
        <is>
          <t>No env-var validation or .env.example; missing values produce 'undefined/...' requests</t>
        </is>
      </c>
      <c r="G73" s="9" t="inlineStr">
        <is>
          <t>Twelve modules build URLs as `${API_BASE}/...` from process.env.NEXT_PUBLIC_API_BASE_URL with no validation, defaults or startup check; the repo has no .env.example (the real .env is untracked). A missing variable at build time silently bakes 'undefined' into the client bundle. NEXT_PUBLIC_SQUARE_ENVIRONMENT is read in code but absent from the .env used locally.</t>
        </is>
      </c>
      <c r="H73" s="12" t="inlineStr">
        <is>
          <t>const API_BASE = process.env.NEXT_PUBLIC_API_BASE_URL;   // repeated in 12 files</t>
        </is>
      </c>
      <c r="I73" s="11" t="inlineStr">
        <is>
          <t>Medium</t>
        </is>
      </c>
      <c r="J73" s="11" t="inlineStr">
        <is>
          <t>Medium</t>
        </is>
      </c>
      <c r="K73" s="11" t="inlineStr">
        <is>
          <t>High</t>
        </is>
      </c>
      <c r="L73" s="11" t="inlineStr">
        <is>
          <t>S</t>
        </is>
      </c>
      <c r="M73" s="11" t="inlineStr">
        <is>
          <t>No</t>
        </is>
      </c>
      <c r="N73" s="11" t="inlineStr">
        <is>
          <t>Build, Config &amp; Deployment</t>
        </is>
      </c>
      <c r="O73" s="11" t="inlineStr">
        <is>
          <t>src/services/booking.api.ts</t>
        </is>
      </c>
      <c r="P73" s="11" t="inlineStr">
        <is>
          <t>3</t>
        </is>
      </c>
      <c r="Q73" s="9" t="inlineStr">
        <is>
          <t>src/services/faq.api.ts:5; gallery.api.ts:5; hours.api.ts:4; locations.api.ts:4; news.api.ts:5; quote.api.ts:3; services.api.ts:5; testimonials.api.ts:5; othersFaq.api.ts:4; public-hero.api.ts:3; ai-chatbot.api.ts:3; useCartSummary.ts:6</t>
        </is>
      </c>
      <c r="R73" s="11" t="n">
        <v>12</v>
      </c>
      <c r="S73" s="9" t="inlineStr">
        <is>
          <t>A misconfigured deployment ships a site where every API call 404s; onboarding of new developers is harder.</t>
        </is>
      </c>
      <c r="T73" s="9" t="inlineStr">
        <is>
          <t>Add src/lib/env.ts that reads and validates required variables at build/start (throw on missing) and export a single API_BASE; commit a .env.example with placeholders.</t>
        </is>
      </c>
      <c r="U73" s="9" t="inlineStr">
        <is>
          <t>Build without NEXT_PUBLIC_API_BASE_URL and inspect network calls (URLs start with 'undefined/').</t>
        </is>
      </c>
      <c r="V73" s="9" t="inlineStr">
        <is>
          <t>12-factor app: config</t>
        </is>
      </c>
      <c r="W73" s="11" t="inlineStr">
        <is>
          <t>ERR-001</t>
        </is>
      </c>
      <c r="X73" s="11" t="inlineStr">
        <is>
          <t>Open</t>
        </is>
      </c>
    </row>
    <row r="74">
      <c r="A74" s="11" t="inlineStr">
        <is>
          <t>BrightSideCarwash-website-frontend</t>
        </is>
      </c>
      <c r="B74" s="11" t="inlineStr">
        <is>
          <t>ERR-001</t>
        </is>
      </c>
      <c r="C74" s="11" t="inlineStr">
        <is>
          <t>Error Handling &amp; Resilience</t>
        </is>
      </c>
      <c r="D74" s="11" t="inlineStr">
        <is>
          <t>Missing Timeouts / Retries</t>
        </is>
      </c>
      <c r="E74" s="11" t="inlineStr">
        <is>
          <t>Risk</t>
        </is>
      </c>
      <c r="F74" s="9" t="inlineStr">
        <is>
          <t>No HTTP timeouts, retries or shared client for any of the 12 API service modules</t>
        </is>
      </c>
      <c r="G74" s="9" t="inlineStr">
        <is>
          <t>Every service uses bare axios (or fetch) with no timeout, no retry/backoff and no central error handling; only two modules create an axios instance and even those set no timeout. A hung backend leaves booking, payment, quote and chatbot calls pending indefinitely, with spinners that never resolve.</t>
        </is>
      </c>
      <c r="H74" s="12" t="inlineStr">
        <is>
          <t>const { data } = await axios.post(`${API_BASE}/appointments/lock`, params);</t>
        </is>
      </c>
      <c r="I74" s="11" t="inlineStr">
        <is>
          <t>Medium</t>
        </is>
      </c>
      <c r="J74" s="11" t="inlineStr">
        <is>
          <t>Medium</t>
        </is>
      </c>
      <c r="K74" s="11" t="inlineStr">
        <is>
          <t>High</t>
        </is>
      </c>
      <c r="L74" s="11" t="inlineStr">
        <is>
          <t>M</t>
        </is>
      </c>
      <c r="M74" s="11" t="inlineStr">
        <is>
          <t>No</t>
        </is>
      </c>
      <c r="N74" s="11" t="inlineStr">
        <is>
          <t>API/Service Layer &amp; Hooks</t>
        </is>
      </c>
      <c r="O74" s="11" t="inlineStr">
        <is>
          <t>src/services/booking.api.ts</t>
        </is>
      </c>
      <c r="P74" s="11" t="inlineStr">
        <is>
          <t>28-64</t>
        </is>
      </c>
      <c r="Q74" s="9" t="inlineStr">
        <is>
          <t>src/services/faq.api.ts:8; gallery.api.ts:8; hours.api.ts:7; locations.api.ts:7; news.api.ts:10,18,26; quote.api.ts:14; services.api.ts:10; testimonials.api.ts:8; ai-chatbot.api.ts:5; othersFaq.api.ts:6; public-hero.api.ts:7</t>
        </is>
      </c>
      <c r="R74" s="11" t="n">
        <v>12</v>
      </c>
      <c r="S74" s="9" t="inlineStr">
        <is>
          <t>Slow or unavailable API makes the whole public site and checkout appear frozen; payment attempts are the most sensitive.</t>
        </is>
      </c>
      <c r="T74" s="9" t="inlineStr">
        <is>
          <t>Create one axios instance (baseURL from validated config, timeout ~10s, interceptor mapping errors to a typed error) and reuse it; add limited retry for idempotent GETs.</t>
        </is>
      </c>
      <c r="U74" s="9" t="inlineStr">
        <is>
          <t>Point NEXT_PUBLIC_API_BASE_URL at a blackhole/slow server and open /services or /booking; UI waits indefinitely.</t>
        </is>
      </c>
      <c r="V74" s="9" t="inlineStr">
        <is>
          <t>OWASP A04:2021 (insecure design/resilience)</t>
        </is>
      </c>
      <c r="W74" s="11" t="n"/>
      <c r="X74" s="11" t="inlineStr">
        <is>
          <t>Open</t>
        </is>
      </c>
    </row>
    <row r="75">
      <c r="A75" s="11" t="inlineStr">
        <is>
          <t>BrightSideCarwash-website-frontend</t>
        </is>
      </c>
      <c r="B75" s="11" t="inlineStr">
        <is>
          <t>ERR-002</t>
        </is>
      </c>
      <c r="C75" s="11" t="inlineStr">
        <is>
          <t>Error Handling &amp; Resilience</t>
        </is>
      </c>
      <c r="D75" s="11" t="inlineStr">
        <is>
          <t>Missing Error Boundary</t>
        </is>
      </c>
      <c r="E75" s="11" t="inlineStr">
        <is>
          <t>Risk</t>
        </is>
      </c>
      <c r="F75" s="9" t="inlineStr">
        <is>
          <t>No error.tsx / global-error.tsx; render errors blank the whole app</t>
        </is>
      </c>
      <c r="G75" s="9" t="inlineStr">
        <is>
          <t>Searched src/app for error.tsx, global-error.tsx and loading.tsx: none exist (only not-found.tsx). Any uncaught render error (e.g. VAL-001) produces the default Next.js error screen on the booking and payment path instead of a recoverable UI.</t>
        </is>
      </c>
      <c r="H75" s="12" t="inlineStr">
        <is>
          <t>find src -name error.tsx -o -name global-error.tsx  -&gt; no results</t>
        </is>
      </c>
      <c r="I75" s="11" t="inlineStr">
        <is>
          <t>Medium</t>
        </is>
      </c>
      <c r="J75" s="11" t="inlineStr">
        <is>
          <t>Medium</t>
        </is>
      </c>
      <c r="K75" s="11" t="inlineStr">
        <is>
          <t>High</t>
        </is>
      </c>
      <c r="L75" s="11" t="inlineStr">
        <is>
          <t>S</t>
        </is>
      </c>
      <c r="M75" s="11" t="inlineStr">
        <is>
          <t>No</t>
        </is>
      </c>
      <c r="N75" s="11" t="inlineStr">
        <is>
          <t>Layout, UI &amp; Theme</t>
        </is>
      </c>
      <c r="O75" s="11" t="inlineStr">
        <is>
          <t>src/app/layout.tsx</t>
        </is>
      </c>
      <c r="P75" s="11" t="inlineStr">
        <is>
          <t>44-62</t>
        </is>
      </c>
      <c r="Q75" s="9" t="n"/>
      <c r="R75" s="11" t="n">
        <v>1</v>
      </c>
      <c r="S75" s="9" t="inlineStr">
        <is>
          <t>A single runtime exception in any client component takes down the page for the visitor, including mid-checkout.</t>
        </is>
      </c>
      <c r="T75" s="9" t="inlineStr">
        <is>
          <t>Add src/app/error.tsx and global-error.tsx with a retry action and friendly message; wrap the booking wizard in a route-level error boundary that preserves the cart.</t>
        </is>
      </c>
      <c r="U75" s="9" t="inlineStr">
        <is>
          <t>Trigger the exception described in VAL-001 and observe the unhandled runtime error instead of a friendly fallback.</t>
        </is>
      </c>
      <c r="V75" s="9" t="inlineStr">
        <is>
          <t>Next.js docs: error handling</t>
        </is>
      </c>
      <c r="W75" s="11" t="n"/>
      <c r="X75" s="11" t="inlineStr">
        <is>
          <t>Open</t>
        </is>
      </c>
    </row>
    <row r="76">
      <c r="A76" s="11" t="inlineStr">
        <is>
          <t>BrightSideCarwash-website-frontend</t>
        </is>
      </c>
      <c r="B76" s="11" t="inlineStr">
        <is>
          <t>ERR-003</t>
        </is>
      </c>
      <c r="C76" s="11" t="inlineStr">
        <is>
          <t>Error Handling &amp; Resilience</t>
        </is>
      </c>
      <c r="D76" s="11" t="inlineStr">
        <is>
          <t>Swallowed Exception</t>
        </is>
      </c>
      <c r="E76" s="11" t="inlineStr">
        <is>
          <t>Defect</t>
        </is>
      </c>
      <c r="F76" s="9" t="inlineStr">
        <is>
          <t>Availability and cart-summary failures are silently swallowed and look like 'no data'</t>
        </is>
      </c>
      <c r="G76" s="9" t="inlineStr">
        <is>
          <t>The availability loader has an empty catch, so a failed batch shows as 'no available dates'. useCartSummary sets summary to null on any error and AppointmentSummary then falls back to the client-computed subtotal with tax 0 - the customer sees a total without tax. releaseLock failures are also silently ignored, leaving locks held for the full TTL.</t>
        </is>
      </c>
      <c r="H76" s="12" t="inlineStr">
        <is>
          <t>} catch {}   // useAvailableDates
.catch(() =&gt; setSummary(null));  // useCartSummary
const tax = summary ? summary.taxInCents / 100 : 0;</t>
        </is>
      </c>
      <c r="I76" s="11" t="inlineStr">
        <is>
          <t>Medium</t>
        </is>
      </c>
      <c r="J76" s="11" t="inlineStr">
        <is>
          <t>Medium</t>
        </is>
      </c>
      <c r="K76" s="11" t="inlineStr">
        <is>
          <t>High</t>
        </is>
      </c>
      <c r="L76" s="11" t="inlineStr">
        <is>
          <t>S</t>
        </is>
      </c>
      <c r="M76" s="11" t="inlineStr">
        <is>
          <t>No</t>
        </is>
      </c>
      <c r="N76" s="11" t="inlineStr">
        <is>
          <t>Booking &amp; Checkout</t>
        </is>
      </c>
      <c r="O76" s="11" t="inlineStr">
        <is>
          <t>src/hooks/useAvailableDates.ts</t>
        </is>
      </c>
      <c r="P76" s="11" t="inlineStr">
        <is>
          <t>160</t>
        </is>
      </c>
      <c r="Q76" s="9" t="inlineStr">
        <is>
          <t>src/hooks/useCartSummary.ts:27; src/components/pages/booking/AppointmentSummary.tsx:33-35; src/hooks/useBookingLock.ts:40-42</t>
        </is>
      </c>
      <c r="R76" s="11" t="n">
        <v>4</v>
      </c>
      <c r="S76" s="9" t="inlineStr">
        <is>
          <t>Customers may believe the business is fully booked when the API merely failed, and may see an understated total before paying. Lost bookings and price disputes.</t>
        </is>
      </c>
      <c r="T76" s="9" t="inlineStr">
        <is>
          <t>Expose an error state from these hooks and render retry/error UI; never present a total without tax as final - block checkout until the summary loads.</t>
        </is>
      </c>
      <c r="U76" s="9" t="inlineStr">
        <is>
          <t>Block the /appointments/availability or /cart/summary request in DevTools and observe the UI (no error, empty calendar or pre-tax total).</t>
        </is>
      </c>
      <c r="V76" s="9" t="inlineStr">
        <is>
          <t>CWE-390 (detection of error condition without action)</t>
        </is>
      </c>
      <c r="W76" s="11" t="n"/>
      <c r="X76" s="11" t="inlineStr">
        <is>
          <t>Open</t>
        </is>
      </c>
    </row>
    <row r="77">
      <c r="A77" s="11" t="inlineStr">
        <is>
          <t>BrightSideCarwash-website-frontend</t>
        </is>
      </c>
      <c r="B77" s="11" t="inlineStr">
        <is>
          <t>OPS-001</t>
        </is>
      </c>
      <c r="C77" s="11" t="inlineStr">
        <is>
          <t>DevOps / CI/CD / Deployment</t>
        </is>
      </c>
      <c r="D77" s="11" t="inlineStr">
        <is>
          <t>Dockerfile Hardening</t>
        </is>
      </c>
      <c r="E77" s="11" t="inlineStr">
        <is>
          <t>Improvement</t>
        </is>
      </c>
      <c r="F77" s="9" t="inlineStr">
        <is>
          <t>Dockerfile runs as root, uses npm install, single stage and no healthcheck</t>
        </is>
      </c>
      <c r="G77" s="9" t="inlineStr">
        <is>
          <t>The image is a single-stage node:24-alpine with no USER directive (runs as root), installs with npm install instead of npm ci (non-reproducible), copies the whole source tree including dev dependencies into the runtime image, and defines no HEALTHCHECK. The base tag is a moving major tag. docker-compose exposes port 3000 with no resource limits.</t>
        </is>
      </c>
      <c r="H77" s="12" t="inlineStr">
        <is>
          <t>FROM node:24-alpine
RUN npm install
COPY . .
CMD ["npm", "start"]</t>
        </is>
      </c>
      <c r="I77" s="11" t="inlineStr">
        <is>
          <t>Medium</t>
        </is>
      </c>
      <c r="J77" s="11" t="inlineStr">
        <is>
          <t>Medium</t>
        </is>
      </c>
      <c r="K77" s="11" t="inlineStr">
        <is>
          <t>High</t>
        </is>
      </c>
      <c r="L77" s="11" t="inlineStr">
        <is>
          <t>M</t>
        </is>
      </c>
      <c r="M77" s="11" t="inlineStr">
        <is>
          <t>No</t>
        </is>
      </c>
      <c r="N77" s="11" t="inlineStr">
        <is>
          <t>Build, Config &amp; Deployment</t>
        </is>
      </c>
      <c r="O77" s="11" t="inlineStr">
        <is>
          <t>Dockerfile</t>
        </is>
      </c>
      <c r="P77" s="11" t="inlineStr">
        <is>
          <t>2-23</t>
        </is>
      </c>
      <c r="Q77" s="9" t="inlineStr">
        <is>
          <t>docker-compose.yml:9-14</t>
        </is>
      </c>
      <c r="R77" s="11" t="n">
        <v>2</v>
      </c>
      <c r="S77" s="9" t="inlineStr">
        <is>
          <t>Larger attack surface and image size, non-reproducible builds, and a compromised process has root inside the container.</t>
        </is>
      </c>
      <c r="T77" s="9" t="inlineStr">
        <is>
          <t>Use a multi-stage build (npm ci, next build with output: 'standalone'), run as a non-root 'node' user, pin the base image digest, add HEALTHCHECK and compose resource limits.</t>
        </is>
      </c>
      <c r="U77" s="9" t="inlineStr">
        <is>
          <t>docker build . &amp;&amp; docker run --rm &lt;img&gt; id  -&gt; uid=0(root).</t>
        </is>
      </c>
      <c r="V77" s="9" t="inlineStr">
        <is>
          <t>CIS Docker Benchmark 4.1; OWASP Docker Top 10</t>
        </is>
      </c>
      <c r="W77" s="11" t="inlineStr">
        <is>
          <t>OPS-002</t>
        </is>
      </c>
      <c r="X77" s="11" t="inlineStr">
        <is>
          <t>Open</t>
        </is>
      </c>
    </row>
    <row r="78">
      <c r="A78" s="11" t="inlineStr">
        <is>
          <t>BrightSideCarwash-website-frontend</t>
        </is>
      </c>
      <c r="B78" s="11" t="inlineStr">
        <is>
          <t>OPS-002</t>
        </is>
      </c>
      <c r="C78" s="11" t="inlineStr">
        <is>
          <t>DevOps / CI/CD / Deployment</t>
        </is>
      </c>
      <c r="D78" s="11" t="inlineStr">
        <is>
          <t>Secrets in Image / Build Config</t>
        </is>
      </c>
      <c r="E78" s="11" t="inlineStr">
        <is>
          <t>Risk</t>
        </is>
      </c>
      <c r="F78" s="9" t="inlineStr">
        <is>
          <t>COPY . . bakes the local .env into the image; NEXT_PUBLIC vars are build-time only</t>
        </is>
      </c>
      <c r="G78" s="9" t="inlineStr">
        <is>
          <t>.dockerignore lists only node_modules and dist, so the untracked .env (present in the working directory) is copied into the image layer by COPY . . (the layer also contains .git). Because NEXT_PUBLIC_* values are inlined during next build, docker-compose's runtime env_file has no effect on client code, so changing environments requires a rebuild and the values in the image always win. The current .env contains only public identifiers (API URLs, sandbox app id) and no secret was found.</t>
        </is>
      </c>
      <c r="H78" s="12" t="inlineStr">
        <is>
          <t>node_modules
dist   # .dockerignore
COPY . .
env_file:
  - .env</t>
        </is>
      </c>
      <c r="I78" s="11" t="inlineStr">
        <is>
          <t>Medium</t>
        </is>
      </c>
      <c r="J78" s="11" t="inlineStr">
        <is>
          <t>Medium</t>
        </is>
      </c>
      <c r="K78" s="11" t="inlineStr">
        <is>
          <t>High</t>
        </is>
      </c>
      <c r="L78" s="11" t="inlineStr">
        <is>
          <t>S</t>
        </is>
      </c>
      <c r="M78" s="11" t="inlineStr">
        <is>
          <t>No</t>
        </is>
      </c>
      <c r="N78" s="11" t="inlineStr">
        <is>
          <t>Build, Config &amp; Deployment</t>
        </is>
      </c>
      <c r="O78" s="11" t="inlineStr">
        <is>
          <t>.dockerignore</t>
        </is>
      </c>
      <c r="P78" s="11" t="inlineStr">
        <is>
          <t>1-2</t>
        </is>
      </c>
      <c r="Q78" s="9" t="inlineStr">
        <is>
          <t>Dockerfile:14; docker-compose.yml:11-12</t>
        </is>
      </c>
      <c r="R78" s="11" t="n">
        <v>3</v>
      </c>
      <c r="S78" s="9" t="inlineStr">
        <is>
          <t>Future secrets placed in .env would be embedded in a distributable image; runtime config appears changeable but is not, causing wrong-environment deployments.</t>
        </is>
      </c>
      <c r="T78" s="9" t="inlineStr">
        <is>
          <t>Add .env*, .git, .next, Dockerfile, README* to .dockerignore; pass NEXT_PUBLIC values as build ARGs per environment (or use runtime config), and document this.</t>
        </is>
      </c>
      <c r="U78" s="9" t="inlineStr">
        <is>
          <t>docker build then docker run --rm &lt;img&gt; ls -a /usr/src/app  -&gt; .env is present.</t>
        </is>
      </c>
      <c r="V78" s="9" t="inlineStr">
        <is>
          <t>CWE-538; CWE-540</t>
        </is>
      </c>
      <c r="W78" s="11" t="inlineStr">
        <is>
          <t>CFG-001</t>
        </is>
      </c>
      <c r="X78" s="11" t="inlineStr">
        <is>
          <t>Open</t>
        </is>
      </c>
    </row>
    <row r="79">
      <c r="A79" s="11" t="inlineStr">
        <is>
          <t>BrightSideCarwash-website-frontend</t>
        </is>
      </c>
      <c r="B79" s="11" t="inlineStr">
        <is>
          <t>OPS-003</t>
        </is>
      </c>
      <c r="C79" s="11" t="inlineStr">
        <is>
          <t>DevOps / CI/CD / Deployment</t>
        </is>
      </c>
      <c r="D79" s="11" t="inlineStr">
        <is>
          <t>Missing CI Gates</t>
        </is>
      </c>
      <c r="E79" s="11" t="inlineStr">
        <is>
          <t>Risk</t>
        </is>
      </c>
      <c r="F79" s="9" t="inlineStr">
        <is>
          <t>No CI/CD pipeline; lint, type-check, build and audit are never enforced</t>
        </is>
      </c>
      <c r="G79" s="9" t="inlineStr">
        <is>
          <t>git ls-files shows no .github, .gitlab-ci.yml, Jenkinsfile or similar. package.json has lint and build scripts but no typecheck/test script, and nothing runs them automatically or scans dependencies.</t>
        </is>
      </c>
      <c r="H79" s="12" t="inlineStr">
        <is>
          <t>git ls-files | grep -iE '\.github|gitlab|jenkins|circle'  -&gt; no results</t>
        </is>
      </c>
      <c r="I79" s="11" t="inlineStr">
        <is>
          <t>Medium</t>
        </is>
      </c>
      <c r="J79" s="11" t="inlineStr">
        <is>
          <t>Medium</t>
        </is>
      </c>
      <c r="K79" s="11" t="inlineStr">
        <is>
          <t>High</t>
        </is>
      </c>
      <c r="L79" s="11" t="inlineStr">
        <is>
          <t>M</t>
        </is>
      </c>
      <c r="M79" s="11" t="inlineStr">
        <is>
          <t>No</t>
        </is>
      </c>
      <c r="N79" s="11" t="inlineStr">
        <is>
          <t>Build, Config &amp; Deployment</t>
        </is>
      </c>
      <c r="O79" s="11" t="inlineStr">
        <is>
          <t>package.json</t>
        </is>
      </c>
      <c r="P79" s="11" t="inlineStr">
        <is>
          <t>5-10</t>
        </is>
      </c>
      <c r="Q79" s="9" t="n"/>
      <c r="R79" s="11" t="n">
        <v>1</v>
      </c>
      <c r="S79" s="9" t="inlineStr">
        <is>
          <t>Regressions in checkout or broken builds and vulnerable dependencies can reach production unnoticed.</t>
        </is>
      </c>
      <c r="T79" s="9" t="inlineStr">
        <is>
          <t>Add a workflow running npm ci, eslint, tsc --noEmit, next build, unit/e2e tests and npm audit --omit=dev on PRs.</t>
        </is>
      </c>
      <c r="U79" s="9" t="inlineStr">
        <is>
          <t>Open a PR with a type error; no check fails.</t>
        </is>
      </c>
      <c r="V79" s="9" t="inlineStr">
        <is>
          <t>OWASP A06:2021</t>
        </is>
      </c>
      <c r="W79" s="11" t="inlineStr">
        <is>
          <t>TEST-001</t>
        </is>
      </c>
      <c r="X79" s="11" t="inlineStr">
        <is>
          <t>Open</t>
        </is>
      </c>
    </row>
    <row r="80">
      <c r="A80" s="11" t="inlineStr">
        <is>
          <t>BrightSideCarwash-website-frontend</t>
        </is>
      </c>
      <c r="B80" s="11" t="inlineStr">
        <is>
          <t>PERF-001</t>
        </is>
      </c>
      <c r="C80" s="11" t="inlineStr">
        <is>
          <t>Performance &amp; Scalability</t>
        </is>
      </c>
      <c r="D80" s="11" t="inlineStr">
        <is>
          <t>Unoptimised Images</t>
        </is>
      </c>
      <c r="E80" s="11" t="inlineStr">
        <is>
          <t>Risk</t>
        </is>
      </c>
      <c r="F80" s="9" t="inlineStr">
        <is>
          <t>38 MB of oversized PNG/JPG assets, most rendered with next/image unoptimized</t>
        </is>
      </c>
      <c r="G80" s="9" t="inlineStr">
        <is>
          <t>public/ is 38 MB; 14 images exceed 1 MB (SUV.png 5.4 MB, Sedan.png 2.9 MB, newsImage-1.png 2.6 MB, service.png 2.4 MB ...). At least 11 next/image usages set `unoptimized`, bypassing Next's resizing/WebP/AVIF, and CMS images are also served unoptimized.</t>
        </is>
      </c>
      <c r="H80" s="12" t="inlineStr">
        <is>
          <t>find public -size +1000k -&gt; SUV.png 5404007 bytes, Sedan.png 2900274 bytes ...
&lt;Image ... unoptimized /&gt;</t>
        </is>
      </c>
      <c r="I80" s="11" t="inlineStr">
        <is>
          <t>Medium</t>
        </is>
      </c>
      <c r="J80" s="11" t="inlineStr">
        <is>
          <t>Medium</t>
        </is>
      </c>
      <c r="K80" s="11" t="inlineStr">
        <is>
          <t>High</t>
        </is>
      </c>
      <c r="L80" s="11" t="inlineStr">
        <is>
          <t>M</t>
        </is>
      </c>
      <c r="M80" s="11" t="inlineStr">
        <is>
          <t>No</t>
        </is>
      </c>
      <c r="N80" s="11" t="inlineStr">
        <is>
          <t>Layout, UI &amp; Theme</t>
        </is>
      </c>
      <c r="O80" s="11" t="inlineStr">
        <is>
          <t>public/images/SUV.png</t>
        </is>
      </c>
      <c r="P80" s="11" t="inlineStr">
        <is>
          <t>n/a (binary)</t>
        </is>
      </c>
      <c r="Q80" s="9" t="inlineStr">
        <is>
          <t>public/images/* (14 files &gt; 1 MB); src/components/ui/ImageModal.tsx:69; src/components/pages/news/NewsDetailContent.tsx:41,89; src/components/pages/home/gallery/GalleryImageCard.tsx:28</t>
        </is>
      </c>
      <c r="R80" s="11" t="n">
        <v>14</v>
      </c>
      <c r="S80" s="9" t="inlineStr">
        <is>
          <t>Slow LCP on mobile, higher bandwidth cost and poor Core Web Vitals on a public marketing site.</t>
        </is>
      </c>
      <c r="T80" s="9" t="inlineStr">
        <is>
          <t>Compress/convert assets to WebP/AVIF at target sizes, remove `unoptimized` where remotePatterns allow it, and add sizes/priority only to the LCP image.</t>
        </is>
      </c>
      <c r="U80" s="9" t="inlineStr">
        <is>
          <t>Run Lighthouse on / on a throttled mobile profile; check network transfer of images.</t>
        </is>
      </c>
      <c r="V80" s="9" t="inlineStr">
        <is>
          <t>web.dev Core Web Vitals</t>
        </is>
      </c>
      <c r="W80" s="11" t="n"/>
      <c r="X80" s="11" t="inlineStr">
        <is>
          <t>Open</t>
        </is>
      </c>
    </row>
    <row r="81">
      <c r="A81" s="11" t="inlineStr">
        <is>
          <t>BrightSideCarwash-website-frontend</t>
        </is>
      </c>
      <c r="B81" s="11" t="inlineStr">
        <is>
          <t>PERF-002</t>
        </is>
      </c>
      <c r="C81" s="11" t="inlineStr">
        <is>
          <t>Performance &amp; Scalability</t>
        </is>
      </c>
      <c r="D81" s="11" t="inlineStr">
        <is>
          <t>Client-side Data Fetching</t>
        </is>
      </c>
      <c r="E81" s="11" t="inlineStr">
        <is>
          <t>Risk</t>
        </is>
      </c>
      <c r="F81" s="9" t="inlineStr">
        <is>
          <t>All content is fetched client-side on mount with no caching, dedup or SSR</t>
        </is>
      </c>
      <c r="G81" s="9" t="inlineStr">
        <is>
          <t>Content pages are thin server pages that render client wrappers, and every section loads its data with useEffect+axios (services, locations, faq, gallery, news, testimonials, hero, hours). There is no SWR/React Query, no server fetch/revalidate, and shared data is requested independently by multiple components. First paint shows skeletons, and crawlers may see empty content.</t>
        </is>
      </c>
      <c r="H81" s="12" t="inlineStr">
        <is>
          <t>useEffect(() =&gt; { fetchServices(locationId).then(...).catch(...).finally(...) }, [locationId]);</t>
        </is>
      </c>
      <c r="I81" s="11" t="inlineStr">
        <is>
          <t>Medium</t>
        </is>
      </c>
      <c r="J81" s="11" t="inlineStr">
        <is>
          <t>Medium</t>
        </is>
      </c>
      <c r="K81" s="11" t="inlineStr">
        <is>
          <t>Medium</t>
        </is>
      </c>
      <c r="L81" s="11" t="inlineStr">
        <is>
          <t>L</t>
        </is>
      </c>
      <c r="M81" s="11" t="inlineStr">
        <is>
          <t>No</t>
        </is>
      </c>
      <c r="N81" s="11" t="inlineStr">
        <is>
          <t>API/Service Layer &amp; Hooks</t>
        </is>
      </c>
      <c r="O81" s="11" t="inlineStr">
        <is>
          <t>src/hooks/useServices.ts</t>
        </is>
      </c>
      <c r="P81" s="11" t="inlineStr">
        <is>
          <t>12-23</t>
        </is>
      </c>
      <c r="Q81" s="9" t="inlineStr">
        <is>
          <t>src/hooks/useFaqs.ts; useGallery.ts; useLocations.ts; useNewsList.ts; useTestimonials.ts; usePublicHero.ts</t>
        </is>
      </c>
      <c r="R81" s="11" t="n">
        <v>7</v>
      </c>
      <c r="S81" s="9" t="inlineStr">
        <is>
          <t>Slower perceived load, redundant API traffic, and weak SEO for the marketing content.</t>
        </is>
      </c>
      <c r="T81" s="9" t="inlineStr">
        <is>
          <t>Fetch public content in Server Components with `fetch(..., { next: { revalidate } })` or adopt TanStack Query for client interactions.</t>
        </is>
      </c>
      <c r="U81" s="9" t="inlineStr">
        <is>
          <t>Disable JavaScript and load /services or /news: content is missing; watch duplicate requests in the Network tab.</t>
        </is>
      </c>
      <c r="V81" s="9" t="inlineStr">
        <is>
          <t>Next.js data fetching docs</t>
        </is>
      </c>
      <c r="W81" s="11" t="n"/>
      <c r="X81" s="11" t="inlineStr">
        <is>
          <t>Open</t>
        </is>
      </c>
    </row>
    <row r="82">
      <c r="A82" s="11" t="inlineStr">
        <is>
          <t>BrightSideCarwash-website-frontend</t>
        </is>
      </c>
      <c r="B82" s="11" t="inlineStr">
        <is>
          <t>PRIV-001</t>
        </is>
      </c>
      <c r="C82" s="11" t="inlineStr">
        <is>
          <t>Privacy &amp; Compliance</t>
        </is>
      </c>
      <c r="D82" s="11" t="inlineStr">
        <is>
          <t>Client-side PII Retention</t>
        </is>
      </c>
      <c r="E82" s="11" t="inlineStr">
        <is>
          <t>Risk</t>
        </is>
      </c>
      <c r="F82" s="9" t="inlineStr">
        <is>
          <t>Customer name and email persisted indefinitely in localStorage after booking</t>
        </is>
      </c>
      <c r="G82" s="9" t="inlineStr">
        <is>
          <t>After a successful booking, lastBookingDetails (customerName, customerEmail, vehicle, services, total) is written to localStorage and never expires; BookingSuccess renders it, and any visit to /booking?step=confirmed on the same browser shows it again. On shared/public computers this leaks a previous customer's PII to the next visitor and to any injected script.</t>
        </is>
      </c>
      <c r="H82" s="12" t="inlineStr">
        <is>
          <t>localStorage.setItem("lastBookingDetails", JSON.stringify(lastBookingDetails));</t>
        </is>
      </c>
      <c r="I82" s="11" t="inlineStr">
        <is>
          <t>Medium</t>
        </is>
      </c>
      <c r="J82" s="11" t="inlineStr">
        <is>
          <t>Medium</t>
        </is>
      </c>
      <c r="K82" s="11" t="inlineStr">
        <is>
          <t>High</t>
        </is>
      </c>
      <c r="L82" s="11" t="inlineStr">
        <is>
          <t>S</t>
        </is>
      </c>
      <c r="M82" s="11" t="inlineStr">
        <is>
          <t>No</t>
        </is>
      </c>
      <c r="N82" s="11" t="inlineStr">
        <is>
          <t>Booking &amp; Checkout</t>
        </is>
      </c>
      <c r="O82" s="11" t="inlineStr">
        <is>
          <t>src/contexts/BookingContext.tsx</t>
        </is>
      </c>
      <c r="P82" s="11" t="inlineStr">
        <is>
          <t>117-125</t>
        </is>
      </c>
      <c r="Q82" s="9" t="inlineStr">
        <is>
          <t>src/components/pages/booking/CheckoutStep.tsx:143-158; src/components/pages/booking/BookingSuccess.tsx:13-27</t>
        </is>
      </c>
      <c r="R82" s="11" t="n">
        <v>3</v>
      </c>
      <c r="S82" s="9" t="inlineStr">
        <is>
          <t>PII retained without an expiry or consent; increases exposure in a XSS or shared-device scenario and may conflict with privacy commitments (state privacy laws).</t>
        </is>
      </c>
      <c r="T82" s="9" t="inlineStr">
        <is>
          <t>Store only non-PII (order id, service names) and use sessionStorage with a short TTL; clear on success-page unmount.</t>
        </is>
      </c>
      <c r="U82" s="9" t="inlineStr">
        <is>
          <t>Complete a booking, close the tab, open /booking?step=confirmed in a new tab and inspect Application &gt; Local Storage for customerName/customerEmail.</t>
        </is>
      </c>
      <c r="V82" s="9" t="inlineStr">
        <is>
          <t>OWASP A02:2021; GDPR/CCPA data minimisation</t>
        </is>
      </c>
      <c r="W82" s="11" t="n"/>
      <c r="X82" s="11" t="inlineStr">
        <is>
          <t>Open</t>
        </is>
      </c>
    </row>
    <row r="83">
      <c r="A83" s="11" t="inlineStr">
        <is>
          <t>BrightSideCarwash-website-frontend</t>
        </is>
      </c>
      <c r="B83" s="11" t="inlineStr">
        <is>
          <t>SEC-001</t>
        </is>
      </c>
      <c r="C83" s="11" t="inlineStr">
        <is>
          <t>Security</t>
        </is>
      </c>
      <c r="D83" s="11" t="inlineStr">
        <is>
          <t>Missing Security Headers / CSP</t>
        </is>
      </c>
      <c r="E83" s="11" t="inlineStr">
        <is>
          <t>Improvement</t>
        </is>
      </c>
      <c r="F83" s="9" t="inlineStr">
        <is>
          <t>No CSP or other security headers configured for a site embedding a payment form</t>
        </is>
      </c>
      <c r="G83" s="9" t="inlineStr">
        <is>
          <t>next.config.ts defines only images.remotePatterns and redirects; no headers() function, and no middleware/proxy file exists. The site loads the Square SDK, renders CMS HTML and embeds third-party iframes but sends no Content-Security-Policy, frame-ancestors/X-Frame-Options, X-Content-Type-Options, Referrer-Policy or Permissions-Policy from the app (a reverse proxy may add them - not visible in the repo).</t>
        </is>
      </c>
      <c r="H83" s="12" t="inlineStr">
        <is>
          <t>const nextConfig: NextConfig = { reactCompiler: true, images: {...}, async redirects() {...} }  // no headers()</t>
        </is>
      </c>
      <c r="I83" s="11" t="inlineStr">
        <is>
          <t>Medium</t>
        </is>
      </c>
      <c r="J83" s="11" t="inlineStr">
        <is>
          <t>Medium</t>
        </is>
      </c>
      <c r="K83" s="11" t="inlineStr">
        <is>
          <t>Medium</t>
        </is>
      </c>
      <c r="L83" s="11" t="inlineStr">
        <is>
          <t>M</t>
        </is>
      </c>
      <c r="M83" s="11" t="inlineStr">
        <is>
          <t>No</t>
        </is>
      </c>
      <c r="N83" s="11" t="inlineStr">
        <is>
          <t>Build, Config &amp; Deployment</t>
        </is>
      </c>
      <c r="O83" s="11" t="inlineStr">
        <is>
          <t>next.config.ts</t>
        </is>
      </c>
      <c r="P83" s="11" t="inlineStr">
        <is>
          <t>3-46</t>
        </is>
      </c>
      <c r="Q83" s="9" t="n"/>
      <c r="R83" s="11" t="n">
        <v>1</v>
      </c>
      <c r="S83" s="9" t="inlineStr">
        <is>
          <t>No defense in depth against XSS (CMS HTML, chatbot HTML), clickjacking of the booking/payment page or script injection into the checkout.</t>
        </is>
      </c>
      <c r="T83" s="9" t="inlineStr">
        <is>
          <t>Add an async headers() with a CSP allowing self, Square (web.squarecdn.com, sandbox, pci-connect.squareup.com), the API/CDN hosts and Google Maps/Flexwash frames, plus X-Frame-Options/frame-ancestors, nosniff and Referrer-Policy; roll out first in Report-Only.</t>
        </is>
      </c>
      <c r="U83" s="9" t="inlineStr">
        <is>
          <t>curl -I &lt;site&gt; and check response headers; run securityheaders.com or Mozilla Observatory.</t>
        </is>
      </c>
      <c r="V83" s="9" t="inlineStr">
        <is>
          <t>OWASP A05:2021; CWE-693; CWE-1021</t>
        </is>
      </c>
      <c r="W83" s="11" t="n"/>
      <c r="X83" s="11" t="inlineStr">
        <is>
          <t>Open</t>
        </is>
      </c>
    </row>
    <row r="84">
      <c r="A84" s="11" t="inlineStr">
        <is>
          <t>BrightSideCarwash-website-frontend</t>
        </is>
      </c>
      <c r="B84" s="11" t="inlineStr">
        <is>
          <t>SEC-004</t>
        </is>
      </c>
      <c r="C84" s="11" t="inlineStr">
        <is>
          <t>Security</t>
        </is>
      </c>
      <c r="D84" s="11" t="inlineStr">
        <is>
          <t>Abuse Protection</t>
        </is>
      </c>
      <c r="E84" s="11" t="inlineStr">
        <is>
          <t>Risk</t>
        </is>
      </c>
      <c r="F84" s="9" t="inlineStr">
        <is>
          <t>Unauthenticated public forms (quote, chat session) have no bot protection</t>
        </is>
      </c>
      <c r="G84" s="9" t="inlineStr">
        <is>
          <t>The quote form POSTs to /quote and the chatbot to /sessions/ and /chat/message/ with no CAPTCHA, honeypot or proof-of-work in the client. Rate limiting, if any, would live in the backend (not in this repo), so this is unconfirmed. The LLM-backed chat endpoint is also a cost-abuse target.</t>
        </is>
      </c>
      <c r="H84" s="12" t="inlineStr">
        <is>
          <t>await axios.post(`${API_BASE}/quote`, params);</t>
        </is>
      </c>
      <c r="I84" s="11" t="inlineStr">
        <is>
          <t>Medium</t>
        </is>
      </c>
      <c r="J84" s="11" t="inlineStr">
        <is>
          <t>Medium</t>
        </is>
      </c>
      <c r="K84" s="11" t="inlineStr">
        <is>
          <t>Low</t>
        </is>
      </c>
      <c r="L84" s="11" t="inlineStr">
        <is>
          <t>M</t>
        </is>
      </c>
      <c r="M84" s="11" t="inlineStr">
        <is>
          <t>No</t>
        </is>
      </c>
      <c r="N84" s="11" t="inlineStr">
        <is>
          <t>Home &amp; Marketing Pages</t>
        </is>
      </c>
      <c r="O84" s="11" t="inlineStr">
        <is>
          <t>src/services/quote.api.ts</t>
        </is>
      </c>
      <c r="P84" s="11" t="inlineStr">
        <is>
          <t>14</t>
        </is>
      </c>
      <c r="Q84" s="9" t="inlineStr">
        <is>
          <t>src/services/ai-chatbot.api.ts:53, 65</t>
        </is>
      </c>
      <c r="R84" s="11" t="n">
        <v>3</v>
      </c>
      <c r="S84" s="9" t="inlineStr">
        <is>
          <t>Spam quote submissions and AI/LLM cost exhaustion. LOW CONFIDENCE: the backend may already rate limit; needs confirmation against the API repository.</t>
        </is>
      </c>
      <c r="T84" s="9" t="inlineStr">
        <is>
          <t>Add Turnstile/reCAPTCHA (or equivalent) to quote and chat start and verify server-side; confirm per-IP rate limits and message length caps in the APIs.</t>
        </is>
      </c>
      <c r="U84" s="9" t="inlineStr">
        <is>
          <t>Script 100 POSTs to the /quote and /sessions endpoints and check for 429/challenge responses.</t>
        </is>
      </c>
      <c r="V84" s="9" t="inlineStr">
        <is>
          <t>OWASP API4:2023; OWASP API6:2023</t>
        </is>
      </c>
      <c r="W84" s="11" t="n"/>
      <c r="X84" s="11" t="inlineStr">
        <is>
          <t>Open</t>
        </is>
      </c>
    </row>
    <row r="85">
      <c r="A85" s="11" t="inlineStr">
        <is>
          <t>BrightSideCarwash-website-frontend</t>
        </is>
      </c>
      <c r="B85" s="11" t="inlineStr">
        <is>
          <t>VAL-001</t>
        </is>
      </c>
      <c r="C85" s="11" t="inlineStr">
        <is>
          <t>Input Validation</t>
        </is>
      </c>
      <c r="D85" s="11" t="inlineStr">
        <is>
          <t>Untrusted Query Parameters</t>
        </is>
      </c>
      <c r="E85" s="11" t="inlineStr">
        <is>
          <t>Defect</t>
        </is>
      </c>
      <c r="F85" s="9" t="inlineStr">
        <is>
          <t>Booking query parameters are used unvalidated and can crash the page</t>
        </is>
      </c>
      <c r="G85" s="9" t="inlineStr">
        <is>
          <t>The booking wizard is driven by the URL: step is cast with `as Step` with no whitelist, and date/startAt/time/teamMemberId are read from the query string. A malformed value (e.g. ?date=abc) produces an Invalid Date; format(date, 'EEEE') then throws RangeError during render. Because the app has no error boundary (see ERR-002) the user gets a blank/Next error page. step=checkout/confirmed can be reached directly without prior state.</t>
        </is>
      </c>
      <c r="H85" s="12" t="inlineStr">
        <is>
          <t>const stepParam = searchParams.get('step') as Step | null;
const date = dateParam ? new Date(dateParam) : ...
const dayName = date ? format(date, 'EEEE') : '';</t>
        </is>
      </c>
      <c r="I85" s="11" t="inlineStr">
        <is>
          <t>Medium</t>
        </is>
      </c>
      <c r="J85" s="11" t="inlineStr">
        <is>
          <t>Medium</t>
        </is>
      </c>
      <c r="K85" s="11" t="inlineStr">
        <is>
          <t>High</t>
        </is>
      </c>
      <c r="L85" s="11" t="inlineStr">
        <is>
          <t>S</t>
        </is>
      </c>
      <c r="M85" s="11" t="inlineStr">
        <is>
          <t>No</t>
        </is>
      </c>
      <c r="N85" s="11" t="inlineStr">
        <is>
          <t>Booking &amp; Checkout</t>
        </is>
      </c>
      <c r="O85" s="11" t="inlineStr">
        <is>
          <t>src/components/pages/booking/AppointmentSummary.tsx</t>
        </is>
      </c>
      <c r="P85" s="11" t="inlineStr">
        <is>
          <t>24-26</t>
        </is>
      </c>
      <c r="Q85" s="9" t="inlineStr">
        <is>
          <t>src/components/pages/booking/BookingPageWrapper.tsx:21-22; src/components/pages/booking/CheckoutStep.tsx:68-69; src/components/pages/booking/DateTimeStep.tsx:108</t>
        </is>
      </c>
      <c r="R85" s="11" t="n">
        <v>4</v>
      </c>
      <c r="S85" s="9" t="inlineStr">
        <is>
          <t>Broken shared/bookmarked links or manually edited URLs crash the booking page; direct navigation to later steps yields inconsistent state.</t>
        </is>
      </c>
      <c r="T85" s="9" t="inlineStr">
        <is>
          <t>Validate query params with a schema (zod or manual whitelist) and fall back to the cart step; guard date parsing with isValid().</t>
        </is>
      </c>
      <c r="U85" s="9" t="inlineStr">
        <is>
          <t>Open /booking?step=checkout&amp;date=abc with a service in the cart; observe the runtime error. Open /booking?step=bogus and observe no step renders.</t>
        </is>
      </c>
      <c r="V85" s="9" t="inlineStr">
        <is>
          <t>OWASP A03:2021 (input handling); CWE-20</t>
        </is>
      </c>
      <c r="W85" s="11" t="inlineStr">
        <is>
          <t>ERR-002</t>
        </is>
      </c>
      <c r="X85" s="11" t="inlineStr">
        <is>
          <t>Open</t>
        </is>
      </c>
    </row>
    <row r="86">
      <c r="A86" s="11" t="inlineStr">
        <is>
          <t>BrightSideCarwash-AdminDashboard-frontend</t>
        </is>
      </c>
      <c r="B86" s="11" t="inlineStr">
        <is>
          <t>BUG-004</t>
        </is>
      </c>
      <c r="C86" s="11" t="inlineStr">
        <is>
          <t>Bug / Correctness</t>
        </is>
      </c>
      <c r="D86" s="11" t="inlineStr">
        <is>
          <t>Validation/allow-list mismatch</t>
        </is>
      </c>
      <c r="E86" s="11" t="inlineStr">
        <is>
          <t>Defect</t>
        </is>
      </c>
      <c r="F86" s="9" t="inlineStr">
        <is>
          <t>Knowledge-base upload rejects TXT and CSV although UI advertises them</t>
        </is>
      </c>
      <c r="G86" s="9" t="inlineStr">
        <is>
          <t>The file input accepts .txt/.csv and the error toast says TXT and CSV are supported, but the MIME allow-list contains only PDF, DOC/DOCX and XLS/XLSX. text/plain and text/csv fail the includes() check, so those files can never be uploaded. Browsers also report empty or different MIME types for CSV on Windows (application/vnd.ms-excel), so behaviour is inconsistent.</t>
        </is>
      </c>
      <c r="H86" s="12" t="inlineStr">
        <is>
          <t>const validTypes = ['application/pdf','...wordprocessingml.document','application/msword','application/vnd.ms-excel','...spreadsheetml.sheet'];
if (!validTypes.includes(file.type)) { toast.error('...(PDF, DOCX, TXT, CSV, Excel)'); return; }</t>
        </is>
      </c>
      <c r="I86" s="11" t="inlineStr">
        <is>
          <t>Low</t>
        </is>
      </c>
      <c r="J86" s="11" t="inlineStr">
        <is>
          <t>Medium</t>
        </is>
      </c>
      <c r="K86" s="11" t="inlineStr">
        <is>
          <t>High</t>
        </is>
      </c>
      <c r="L86" s="11" t="inlineStr">
        <is>
          <t>S</t>
        </is>
      </c>
      <c r="M86" s="11" t="inlineStr">
        <is>
          <t>No</t>
        </is>
      </c>
      <c r="N86" s="11" t="inlineStr">
        <is>
          <t>AI Chatbox</t>
        </is>
      </c>
      <c r="O86" s="11" t="inlineStr">
        <is>
          <t>src/components/pages/AiChatbox/knowledge/KnowledgeUploadModal.tsx</t>
        </is>
      </c>
      <c r="P86" s="11" t="inlineStr">
        <is>
          <t>39-53</t>
        </is>
      </c>
      <c r="Q86" s="9" t="inlineStr">
        <is>
          <t>src/components/pages/AiChatbox/knowledge/KnowledgeUploadModal.tsx:179 (accept attribute)</t>
        </is>
      </c>
      <c r="R86" s="11" t="n">
        <v>2</v>
      </c>
      <c r="S86" s="9" t="inlineStr">
        <is>
          <t>Feature defect: staff cannot add TXT/CSV knowledge documents; misleading message erodes trust in the tool.</t>
        </is>
      </c>
      <c r="T86" s="9" t="inlineStr">
        <is>
          <t>Validate by extension and MIME together (add text/plain, text/csv, empty-type fallback by extension) and keep a single shared constant for accept, validation and message.</t>
        </is>
      </c>
      <c r="U86" s="9" t="inlineStr">
        <is>
          <t>Select a .txt file in Knowledge &gt; Upload: toast 'Please upload a valid file type (PDF, DOCX, TXT, CSV, Excel)' appears.</t>
        </is>
      </c>
      <c r="V86" s="9" t="n"/>
      <c r="W86" s="11" t="n"/>
      <c r="X86" s="11" t="inlineStr">
        <is>
          <t>Open</t>
        </is>
      </c>
    </row>
    <row r="87">
      <c r="A87" s="11" t="inlineStr">
        <is>
          <t>BrightSideCarwash-AdminDashboard-frontend</t>
        </is>
      </c>
      <c r="B87" s="11" t="inlineStr">
        <is>
          <t>MAINT-001</t>
        </is>
      </c>
      <c r="C87" s="11" t="inlineStr">
        <is>
          <t>Maintainability &amp; Tech Debt</t>
        </is>
      </c>
      <c r="D87" s="11" t="inlineStr">
        <is>
          <t>Mock-mode branching in production code</t>
        </is>
      </c>
      <c r="E87" s="11" t="inlineStr">
        <is>
          <t>Tech Debt</t>
        </is>
      </c>
      <c r="F87" s="9" t="inlineStr">
        <is>
          <t>MOCK_MODE/DASHBOARD_MOCK branches and mock data compiled into production paths</t>
        </is>
      </c>
      <c r="G87" s="9" t="inlineStr">
        <is>
          <t>About 30 references to MOCK_MODE branch inside services, modals and hooks, and 12 mock data files (approx. 1,350 lines) plus mock auth logic live under src/ and are imported by the same modules. MOCK_MODE is a NEXT_PUBLIC flag inlined at build time; a wrong value in .env at build time silently switches a production build to fake data. Several branches are half-commented (reports.api.ts:26).</t>
        </is>
      </c>
      <c r="H87" s="12" t="inlineStr">
        <is>
          <t>MOCK_MODE: process.env.NEXT_PUBLIC_MOCK_MODE === "true",
...
if (APP_CONFIG.MOCK_MODE) { await delay(APP_CONFIG.MOCK_DELAY_MS); const result = await mockFn(); ...</t>
        </is>
      </c>
      <c r="I87" s="11" t="inlineStr">
        <is>
          <t>Low</t>
        </is>
      </c>
      <c r="J87" s="11" t="inlineStr">
        <is>
          <t>Medium</t>
        </is>
      </c>
      <c r="K87" s="11" t="inlineStr">
        <is>
          <t>High</t>
        </is>
      </c>
      <c r="L87" s="11" t="inlineStr">
        <is>
          <t>L</t>
        </is>
      </c>
      <c r="M87" s="11" t="inlineStr">
        <is>
          <t>No</t>
        </is>
      </c>
      <c r="N87" s="11" t="inlineStr">
        <is>
          <t>Data access layer</t>
        </is>
      </c>
      <c r="O87" s="11" t="inlineStr">
        <is>
          <t>src/services/base-query.ts</t>
        </is>
      </c>
      <c r="P87" s="11" t="inlineStr">
        <is>
          <t>21-32</t>
        </is>
      </c>
      <c r="Q87" s="9" t="inlineStr">
        <is>
          <t>src/configs/app.config.ts:2,5; src/services/team.api.ts:79,167,195,222,254,318,344,374; campaign.api.ts (7 sites); components/pages/teams/AddMemberModal.tsx:12; CreateRoleModal.tsx:34; reports.api.ts:26-54</t>
        </is>
      </c>
      <c r="R87" s="11" t="n">
        <v>30</v>
      </c>
      <c r="S87" s="9" t="inlineStr">
        <is>
          <t>Risk of shipping fake data/behaviour to production, larger bundle, more code paths to test, and mock/real drift (mock auth vs. real auth).</t>
        </is>
      </c>
      <c r="T87" s="9" t="inlineStr">
        <is>
          <t>Replace with MSW (dev/test only) or an env-gated adapter module excluded from production builds; delete unused MOCK branches and set a build-time assertion that MOCK_MODE is false when NODE_ENV=production.</t>
        </is>
      </c>
      <c r="U87" s="9" t="inlineStr">
        <is>
          <t>grep -rn 'MOCK_MODE' src | wc -l; build with NEXT_PUBLIC_MOCK_MODE=true and confirm the app serves fake data.</t>
        </is>
      </c>
      <c r="V87" s="9" t="n"/>
      <c r="W87" s="11" t="n"/>
      <c r="X87" s="11" t="inlineStr">
        <is>
          <t>Open</t>
        </is>
      </c>
    </row>
    <row r="88">
      <c r="A88" s="11" t="inlineStr">
        <is>
          <t>BrightSideCarwash-website-frontend</t>
        </is>
      </c>
      <c r="B88" s="11" t="inlineStr">
        <is>
          <t>FE-001</t>
        </is>
      </c>
      <c r="C88" s="11" t="inlineStr">
        <is>
          <t>Frontend / UX / Accessibility</t>
        </is>
      </c>
      <c r="D88" s="11" t="inlineStr">
        <is>
          <t>SEO / Metadata</t>
        </is>
      </c>
      <c r="E88" s="11" t="inlineStr">
        <is>
          <t>Improvement</t>
        </is>
      </c>
      <c r="F88" s="9" t="inlineStr">
        <is>
          <t>Only the root layout and /faq define metadata; no sitemap or robots</t>
        </is>
      </c>
      <c r="G88" s="9" t="inlineStr">
        <is>
          <t>Searched for `export const metadata` and generateMetadata: only src/app/layout.tsx and faq/page.tsx. All other pages (services, news detail, booking, gallery, etc.) share the same title/description and news articles have no per-article title, canonical or Open Graph. No sitemap.ts or robots.ts exist.</t>
        </is>
      </c>
      <c r="H88" s="12" t="inlineStr">
        <is>
          <t>grep -rn "metadata" src/app -&gt; layout.tsx:22, (public)/faq/page.tsx:5</t>
        </is>
      </c>
      <c r="I88" s="11" t="inlineStr">
        <is>
          <t>Low</t>
        </is>
      </c>
      <c r="J88" s="11" t="inlineStr">
        <is>
          <t>Medium</t>
        </is>
      </c>
      <c r="K88" s="11" t="inlineStr">
        <is>
          <t>High</t>
        </is>
      </c>
      <c r="L88" s="11" t="inlineStr">
        <is>
          <t>M</t>
        </is>
      </c>
      <c r="M88" s="11" t="inlineStr">
        <is>
          <t>No</t>
        </is>
      </c>
      <c r="N88" s="11" t="inlineStr">
        <is>
          <t>Layout, UI &amp; Theme</t>
        </is>
      </c>
      <c r="O88" s="11" t="inlineStr">
        <is>
          <t>src/app/layout.tsx</t>
        </is>
      </c>
      <c r="P88" s="11" t="inlineStr">
        <is>
          <t>22-42</t>
        </is>
      </c>
      <c r="Q88" s="9" t="inlineStr">
        <is>
          <t>src/app/(public)/news/[slug]/page.tsx:1-5</t>
        </is>
      </c>
      <c r="R88" s="11" t="n">
        <v>2</v>
      </c>
      <c r="S88" s="9" t="inlineStr">
        <is>
          <t>Poor search visibility and link previews for a local-business website where organic discovery drives bookings.</t>
        </is>
      </c>
      <c r="T88" s="9" t="inlineStr">
        <is>
          <t>Add per-route metadata / generateMetadata (including news slugs), a sitemap.ts and robots.ts, plus LocalBusiness JSON-LD.</t>
        </is>
      </c>
      <c r="U88" s="9" t="inlineStr">
        <is>
          <t>View source of /services and /news/&lt;slug&gt;: identical &lt;title&gt;.</t>
        </is>
      </c>
      <c r="V88" s="9" t="inlineStr">
        <is>
          <t>Next.js Metadata API</t>
        </is>
      </c>
      <c r="W88" s="11" t="inlineStr">
        <is>
          <t>PERF-002</t>
        </is>
      </c>
      <c r="X88" s="11" t="inlineStr">
        <is>
          <t>Open</t>
        </is>
      </c>
    </row>
    <row r="89">
      <c r="A89" s="11" t="inlineStr">
        <is>
          <t>BrightSideCarwash-AdminDashboard-frontend</t>
        </is>
      </c>
      <c r="B89" s="11" t="inlineStr">
        <is>
          <t>DEP-002</t>
        </is>
      </c>
      <c r="C89" s="11" t="inlineStr">
        <is>
          <t>Dependency Management</t>
        </is>
      </c>
      <c r="D89" s="11" t="inlineStr">
        <is>
          <t>Known CVEs (transitive, dev tooling)</t>
        </is>
      </c>
      <c r="E89" s="11" t="inlineStr">
        <is>
          <t>Vulnerability</t>
        </is>
      </c>
      <c r="F89" s="9" t="inlineStr">
        <is>
          <t>Transitive brace-expansion (ReDoS/stack exhaustion) flagged high by npm audit</t>
        </is>
      </c>
      <c r="G89" s="9" t="inlineStr">
        <is>
          <t>npm audit reports brace-expansion (&lt;=1.1.20 and 4.0.0-5.0.11) as high (GHSA-q2hr-2g5m-vwhr, GHSA-qhr7-859c-m2p7); it is a transitive dependency of tooling (eslint/minimatch chain) and a fix is available via 'npm audit fix'. It processes developer-supplied glob patterns, not runtime input.</t>
        </is>
      </c>
      <c r="H89" s="12" t="inlineStr">
        <is>
          <t>npm audit: brace-expansion high, isDirect=false, fixAvailable=true</t>
        </is>
      </c>
      <c r="I89" s="11" t="inlineStr">
        <is>
          <t>Medium</t>
        </is>
      </c>
      <c r="J89" s="11" t="inlineStr">
        <is>
          <t>Low</t>
        </is>
      </c>
      <c r="K89" s="11" t="inlineStr">
        <is>
          <t>High</t>
        </is>
      </c>
      <c r="L89" s="11" t="inlineStr">
        <is>
          <t>S</t>
        </is>
      </c>
      <c r="M89" s="11" t="inlineStr">
        <is>
          <t>No</t>
        </is>
      </c>
      <c r="N89" s="11" t="inlineStr">
        <is>
          <t>Dependencies &amp; Tooling</t>
        </is>
      </c>
      <c r="O89" s="11" t="inlineStr">
        <is>
          <t>package-lock.json</t>
        </is>
      </c>
      <c r="P89" s="11" t="inlineStr">
        <is>
          <t>3358</t>
        </is>
      </c>
      <c r="Q89" s="9" t="inlineStr">
        <is>
          <t>pnpm-lock.yaml (separate resolution)</t>
        </is>
      </c>
      <c r="R89" s="11" t="n">
        <v>1</v>
      </c>
      <c r="S89" s="9" t="inlineStr">
        <is>
          <t>Build-time DoS only; not reachable from the browser bundle. Priority Low.</t>
        </is>
      </c>
      <c r="T89" s="9" t="inlineStr">
        <is>
          <t>Run 'npm audit fix' (or add an overrides entry) and re-lock.</t>
        </is>
      </c>
      <c r="U89" s="9" t="inlineStr">
        <is>
          <t>npm audit --package-lock-only --json | jq .vulnerabilities['brace-expansion']</t>
        </is>
      </c>
      <c r="V89" s="9" t="inlineStr">
        <is>
          <t>GHSA-q2hr-2g5m-vwhr, GHSA-qhr7-859c-m2p7</t>
        </is>
      </c>
      <c r="W89" s="11" t="inlineStr">
        <is>
          <t>DEP-003</t>
        </is>
      </c>
      <c r="X89" s="11" t="inlineStr">
        <is>
          <t>Open</t>
        </is>
      </c>
    </row>
    <row r="90">
      <c r="A90" s="11" t="inlineStr">
        <is>
          <t>BrightSideCarwash-backend</t>
        </is>
      </c>
      <c r="B90" s="11" t="inlineStr">
        <is>
          <t>ARCH-001</t>
        </is>
      </c>
      <c r="C90" s="11" t="inlineStr">
        <is>
          <t>Architecture &amp; Design</t>
        </is>
      </c>
      <c r="D90" s="11" t="inlineStr">
        <is>
          <t>God Classes</t>
        </is>
      </c>
      <c r="E90" s="11" t="inlineStr">
        <is>
          <t>Tech Debt</t>
        </is>
      </c>
      <c r="F90" s="9" t="inlineStr">
        <is>
          <t>Very large service classes mix unrelated responsibilities</t>
        </is>
      </c>
      <c r="G90" s="9" t="inlineStr">
        <is>
          <t>squareup-booking.service.ts (1,389 lines: catalog, availability, locking, payments, CRM lead sync, mail), auth.service.ts (1,416 lines: login, sessions, invites, OTP, 2FA, legacy registration, superuser bootstrap) and lead.service.ts (1,535 lines: CRUD, Kanban ranking, exports, imports, dashboard SQL) concentrate business rules that are hard to test and review.</t>
        </is>
      </c>
      <c r="H90" s="12" t="inlineStr">
        <is>
          <t>export class SquareUpBookingService {</t>
        </is>
      </c>
      <c r="I90" s="11" t="inlineStr">
        <is>
          <t>Medium</t>
        </is>
      </c>
      <c r="J90" s="11" t="inlineStr">
        <is>
          <t>Low</t>
        </is>
      </c>
      <c r="K90" s="11" t="inlineStr">
        <is>
          <t>High</t>
        </is>
      </c>
      <c r="L90" s="11" t="inlineStr">
        <is>
          <t>XL</t>
        </is>
      </c>
      <c r="M90" s="11" t="inlineStr">
        <is>
          <t>No</t>
        </is>
      </c>
      <c r="N90" s="11" t="inlineStr">
        <is>
          <t>nest-app: Booking &amp; Payments (Square)</t>
        </is>
      </c>
      <c r="O90" s="11" t="inlineStr">
        <is>
          <t>apps/nest-app/src/modules/application/booking/squareup-booking.service.ts</t>
        </is>
      </c>
      <c r="P90" s="11" t="inlineStr">
        <is>
          <t>25</t>
        </is>
      </c>
      <c r="Q90" s="9" t="inlineStr">
        <is>
          <t>apps/nest-app/src/modules/auth/auth.service.ts:25
apps/nest-app/src/modules/admin/lead/lead.service.ts:18</t>
        </is>
      </c>
      <c r="R90" s="11" t="n">
        <v>3</v>
      </c>
      <c r="S90" s="9" t="inlineStr">
        <is>
          <t>Slower delivery and higher defect rate; the payment path is difficult to reason about (see BUG findings). Priority is Low (below Medium severity) because refactoring is best scheduled after tests exist (see TEST finding).</t>
        </is>
      </c>
      <c r="T90" s="9" t="inlineStr">
        <is>
          <t>Split by responsibility (BookingLockService, SquareCatalogService, CheckoutOrchestrator, PaymentRecorder; SessionService, InviteService, OtpService; LeadExportService, LeadImportService) with unit tests around each.</t>
        </is>
      </c>
      <c r="U90" s="9" t="inlineStr">
        <is>
          <t>wc -l on the listed files.</t>
        </is>
      </c>
      <c r="V90" s="9" t="inlineStr">
        <is>
          <t>SOLID / Clean Architecture</t>
        </is>
      </c>
      <c r="W90" s="11" t="inlineStr">
        <is>
          <t>TEST-001</t>
        </is>
      </c>
      <c r="X90" s="11" t="inlineStr">
        <is>
          <t>Open</t>
        </is>
      </c>
    </row>
    <row r="91">
      <c r="A91" s="11" t="inlineStr">
        <is>
          <t>BrightSideCarwash-backend</t>
        </is>
      </c>
      <c r="B91" s="11" t="inlineStr">
        <is>
          <t>BUG-006</t>
        </is>
      </c>
      <c r="C91" s="11" t="inlineStr">
        <is>
          <t>Bug / Correctness</t>
        </is>
      </c>
      <c r="D91" s="11" t="inlineStr">
        <is>
          <t>Incomplete Feature (2FA lock-out)</t>
        </is>
      </c>
      <c r="E91" s="11" t="inlineStr">
        <is>
          <t>Defect</t>
        </is>
      </c>
      <c r="F91" s="9" t="inlineStr">
        <is>
          <t>Enabling 2FA locks the user out; 2FA is enabled without proof of possession</t>
        </is>
      </c>
      <c r="G91" s="9" t="inlineStr">
        <is>
          <t>LocalStrategy calls authService.validateUser(email, password) and LoginDto has no token field (ValidationPipe whitelist would strip it), so validateUser always throws 'Token is required' for users with is_two_factor_enabled. enable2FA() flips the flag without verifying a TOTP code first, so a user who enables it without scanning the secret cannot log in again. The 2FA endpoints are hidden from Swagger, suggesting an unfinished feature.</t>
        </is>
      </c>
      <c r="H91" s="12" t="inlineStr">
        <is>
          <t>const user = await this.authService.validateUser(email, password);</t>
        </is>
      </c>
      <c r="I91" s="11" t="inlineStr">
        <is>
          <t>Medium</t>
        </is>
      </c>
      <c r="J91" s="11" t="inlineStr">
        <is>
          <t>Low</t>
        </is>
      </c>
      <c r="K91" s="11" t="inlineStr">
        <is>
          <t>High</t>
        </is>
      </c>
      <c r="L91" s="11" t="inlineStr">
        <is>
          <t>M</t>
        </is>
      </c>
      <c r="M91" s="11" t="inlineStr">
        <is>
          <t>No</t>
        </is>
      </c>
      <c r="N91" s="11" t="inlineStr">
        <is>
          <t>nest-app: Auth &amp; RBAC</t>
        </is>
      </c>
      <c r="O91" s="11" t="inlineStr">
        <is>
          <t>apps/nest-app/src/modules/auth/strategies/local.strategy.ts</t>
        </is>
      </c>
      <c r="P91" s="11" t="inlineStr">
        <is>
          <t>14</t>
        </is>
      </c>
      <c r="Q91" s="9" t="inlineStr">
        <is>
          <t>apps/nest-app/src/modules/auth/auth.service.ts:1345
apps/nest-app/src/modules/auth/auth.service.ts:373</t>
        </is>
      </c>
      <c r="R91" s="11" t="n">
        <v>3</v>
      </c>
      <c r="S91" s="9" t="inlineStr">
        <is>
          <t>Self-inflicted account lock-out and support tickets; 2FA cannot currently be used as a security control. Priority is Low (below Medium severity) because the hidden 2FA feature does not appear to be in production use.</t>
        </is>
      </c>
      <c r="T91" s="9" t="inlineStr">
        <is>
          <t>Either complete the flow (token in LoginDto, pass through passReqToCallback, verify a TOTP before enabling, backup codes) or remove the endpoints and columns.</t>
        </is>
      </c>
      <c r="U91" s="9" t="inlineStr">
        <is>
          <t>Call generate-2fa-secret, enable-2fa, then POST /auth/login: the request fails with "Token is required" and there is no way to supply it.</t>
        </is>
      </c>
      <c r="V91" s="9" t="inlineStr">
        <is>
          <t>CWE-287; OWASP ASVS 2.8</t>
        </is>
      </c>
      <c r="W91" s="11" t="n"/>
      <c r="X91" s="11" t="inlineStr">
        <is>
          <t>Open</t>
        </is>
      </c>
    </row>
    <row r="92">
      <c r="A92" s="11" t="inlineStr">
        <is>
          <t>BrightSideCarwash-backend</t>
        </is>
      </c>
      <c r="B92" s="11" t="inlineStr">
        <is>
          <t>BUG-009</t>
        </is>
      </c>
      <c r="C92" s="11" t="inlineStr">
        <is>
          <t>Bug / Correctness</t>
        </is>
      </c>
      <c r="D92" s="11" t="inlineStr">
        <is>
          <t>Lost Update (concurrency)</t>
        </is>
      </c>
      <c r="E92" s="11" t="inlineStr">
        <is>
          <t>Defect</t>
        </is>
      </c>
      <c r="F92" s="9" t="inlineStr">
        <is>
          <t>Concurrent chat messages overwrite each other in the JSONB transcript</t>
        </is>
      </c>
      <c r="G92" s="9" t="inlineStr">
        <is>
          <t>append_message() copies session.messages, appends and saves the whole list; handle_message() reads the history, appends the user turn, performs slow LLM calls and later appends the assistant reply using a stale in-memory session. Two overlapping requests for one session (double send, multi-tab) or a session ended in between overwrite each other's turns.</t>
        </is>
      </c>
      <c r="H92" s="12" t="inlineStr">
        <is>
          <t>def append_message(self, session: ChatSession, role: str, content: str) -&gt; ChatSession:
    messages = list(session.messages or [])
    messages.append({"role": role, "content": content})
    return self.repository.save_messages(session, messages)</t>
        </is>
      </c>
      <c r="I92" s="11" t="inlineStr">
        <is>
          <t>Medium</t>
        </is>
      </c>
      <c r="J92" s="11" t="inlineStr">
        <is>
          <t>Low</t>
        </is>
      </c>
      <c r="K92" s="11" t="inlineStr">
        <is>
          <t>Medium</t>
        </is>
      </c>
      <c r="L92" s="11" t="inlineStr">
        <is>
          <t>M</t>
        </is>
      </c>
      <c r="M92" s="11" t="inlineStr">
        <is>
          <t>No</t>
        </is>
      </c>
      <c r="N92" s="11" t="inlineStr">
        <is>
          <t>django-app: Chatbot &amp; Sessions</t>
        </is>
      </c>
      <c r="O92" s="11" t="inlineStr">
        <is>
          <t>apps/django-app/apps/sessions/services.py</t>
        </is>
      </c>
      <c r="P92" s="11" t="inlineStr">
        <is>
          <t>70-73</t>
        </is>
      </c>
      <c r="Q92" s="9" t="inlineStr">
        <is>
          <t>apps/django-app/apps/chatbot/services.py:39
apps/django-app/apps/sessions/repositories.py:27</t>
        </is>
      </c>
      <c r="R92" s="11" t="n">
        <v>3</v>
      </c>
      <c r="S92" s="9" t="inlineStr">
        <is>
          <t>Missing or duplicated messages in transcripts and in LLM context. Priority is Low (below Medium severity) because it needs overlapping requests on one session and only affects transcript quality.</t>
        </is>
      </c>
      <c r="T92" s="9" t="inlineStr">
        <is>
          <t>Append atomically (select_for_update in a transaction, or a messages table / jsonb `||` update) and re-read the session before writing the assistant reply.</t>
        </is>
      </c>
      <c r="U92" s="9" t="inlineStr">
        <is>
          <t>Fire two concurrent POST /api/v1/chat/ requests for one session_id and compare the stored messages.</t>
        </is>
      </c>
      <c r="V92" s="9" t="inlineStr">
        <is>
          <t>CWE-362</t>
        </is>
      </c>
      <c r="W92" s="11" t="n"/>
      <c r="X92" s="11" t="inlineStr">
        <is>
          <t>Open</t>
        </is>
      </c>
    </row>
    <row r="93">
      <c r="A93" s="11" t="inlineStr">
        <is>
          <t>BrightSideCarwash-backend</t>
        </is>
      </c>
      <c r="B93" s="11" t="inlineStr">
        <is>
          <t>CFG-002</t>
        </is>
      </c>
      <c r="C93" s="11" t="inlineStr">
        <is>
          <t>Configuration &amp; Environment</t>
        </is>
      </c>
      <c r="D93" s="11" t="inlineStr">
        <is>
          <t>Missing Config Validation</t>
        </is>
      </c>
      <c r="E93" s="11" t="inlineStr">
        <is>
          <t>Risk</t>
        </is>
      </c>
      <c r="F93" s="9" t="inlineStr">
        <is>
          <t>Nest config is not validated at startup and has silent fallbacks</t>
        </is>
      </c>
      <c r="G93" s="9" t="inlineStr">
        <is>
          <t>app.config.ts converts DATABASE_URL with String(process.env.DATABASE_URL), so a missing variable becomes the truthy string 'undefined' and PrismaService's `!connectionString` guard never fires; JWT/Stripe/Square/Brevo/Redis variables are read raw without a schema. Invite tokens are HMAC-ed with the JWT access secret (key reuse) with a hard-coded 'secret' fallback.</t>
        </is>
      </c>
      <c r="H93" s="12" t="inlineStr">
        <is>
          <t>url: String(process.env.DATABASE_URL),</t>
        </is>
      </c>
      <c r="I93" s="11" t="inlineStr">
        <is>
          <t>Medium</t>
        </is>
      </c>
      <c r="J93" s="11" t="inlineStr">
        <is>
          <t>Low</t>
        </is>
      </c>
      <c r="K93" s="11" t="inlineStr">
        <is>
          <t>High</t>
        </is>
      </c>
      <c r="L93" s="11" t="inlineStr">
        <is>
          <t>M</t>
        </is>
      </c>
      <c r="M93" s="11" t="inlineStr">
        <is>
          <t>No</t>
        </is>
      </c>
      <c r="N93" s="11" t="inlineStr">
        <is>
          <t>nest-app: Platform (config, storage, mail, notifications, logging, Prisma)</t>
        </is>
      </c>
      <c r="O93" s="11" t="inlineStr">
        <is>
          <t>apps/nest-app/src/config/app.config.ts</t>
        </is>
      </c>
      <c r="P93" s="11" t="inlineStr">
        <is>
          <t>40</t>
        </is>
      </c>
      <c r="Q93" s="9" t="inlineStr">
        <is>
          <t>apps/nest-app/src/prisma/prisma.service.ts:21
apps/nest-app/src/modules/auth/auth.service.ts:589
apps/nest-app/src/modules/auth/auth.service.ts:663</t>
        </is>
      </c>
      <c r="R93" s="11" t="n">
        <v>4</v>
      </c>
      <c r="S93" s="9" t="inlineStr">
        <is>
          <t>Misconfigured environments start and fail later in confusing ways or with weak keys. Priority is Low (below Medium severity) because current deployments evidently provide the variables.</t>
        </is>
      </c>
      <c r="T93" s="9" t="inlineStr">
        <is>
          <t>Validate env with @nestjs/config validationSchema (Joi/zod) and fail fast; use a dedicated INVITE_TOKEN_SECRET; remove literal fallbacks.</t>
        </is>
      </c>
      <c r="U93" s="9" t="inlineStr">
        <is>
          <t>Start with DATABASE_URL unset and observe the error message.</t>
        </is>
      </c>
      <c r="V93" s="9" t="inlineStr">
        <is>
          <t>12-factor config; CWE-1188</t>
        </is>
      </c>
      <c r="W93" s="11" t="n"/>
      <c r="X93" s="11" t="inlineStr">
        <is>
          <t>Open</t>
        </is>
      </c>
    </row>
    <row r="94">
      <c r="A94" s="11" t="inlineStr">
        <is>
          <t>BrightSideCarwash-backend</t>
        </is>
      </c>
      <c r="B94" s="11" t="inlineStr">
        <is>
          <t>PERF-002</t>
        </is>
      </c>
      <c r="C94" s="11" t="inlineStr">
        <is>
          <t>Performance &amp; Scalability</t>
        </is>
      </c>
      <c r="D94" s="11" t="inlineStr">
        <is>
          <t>Unbounded Payload Growth</t>
        </is>
      </c>
      <c r="E94" s="11" t="inlineStr">
        <is>
          <t>Risk</t>
        </is>
      </c>
      <c r="F94" s="9" t="inlineStr">
        <is>
          <t>Whole conversation history is sent to the LLM and returned on every turn</t>
        </is>
      </c>
      <c r="G94" s="9" t="inlineStr">
        <is>
          <t>build_messages() appends every prior turn, and the API response includes session.messages in full. Payload, token cost and latency grow with the length of the chat, and the JSONB column has no cap.</t>
        </is>
      </c>
      <c r="H94" s="12" t="inlineStr">
        <is>
          <t>"messages": session.messages,</t>
        </is>
      </c>
      <c r="I94" s="11" t="inlineStr">
        <is>
          <t>Medium</t>
        </is>
      </c>
      <c r="J94" s="11" t="inlineStr">
        <is>
          <t>Low</t>
        </is>
      </c>
      <c r="K94" s="11" t="inlineStr">
        <is>
          <t>High</t>
        </is>
      </c>
      <c r="L94" s="11" t="inlineStr">
        <is>
          <t>M</t>
        </is>
      </c>
      <c r="M94" s="11" t="inlineStr">
        <is>
          <t>No</t>
        </is>
      </c>
      <c r="N94" s="11" t="inlineStr">
        <is>
          <t>django-app: Chatbot &amp; Sessions</t>
        </is>
      </c>
      <c r="O94" s="11" t="inlineStr">
        <is>
          <t>apps/django-app/apps/chatbot/services.py</t>
        </is>
      </c>
      <c r="P94" s="11" t="inlineStr">
        <is>
          <t>83</t>
        </is>
      </c>
      <c r="Q94" s="9" t="inlineStr">
        <is>
          <t>apps/django-app/prompts/builder.py:53</t>
        </is>
      </c>
      <c r="R94" s="11" t="n">
        <v>2</v>
      </c>
      <c r="S94" s="9" t="inlineStr">
        <is>
          <t>Cost and latency growth; possible context-window errors on long sessions. Priority is Low (below Medium severity) because growth is gradual and bounded by the 2 hour session inactivity timeout.</t>
        </is>
      </c>
      <c r="T94" s="9" t="inlineStr">
        <is>
          <t>Send only the last N turns/token budget to the model, return only the new answer (or a paginated history endpoint), cap messages per session.</t>
        </is>
      </c>
      <c r="U94" s="9" t="inlineStr">
        <is>
          <t>Send 200 messages in one session and watch response size and token usage.</t>
        </is>
      </c>
      <c r="V94" s="9" t="inlineStr">
        <is>
          <t>OpenAI token limits</t>
        </is>
      </c>
      <c r="W94" s="11" t="inlineStr">
        <is>
          <t>SEC-012</t>
        </is>
      </c>
      <c r="X94" s="11" t="inlineStr">
        <is>
          <t>Open</t>
        </is>
      </c>
    </row>
    <row r="95">
      <c r="A95" s="11" t="inlineStr">
        <is>
          <t>BrightSideCarwash-backend</t>
        </is>
      </c>
      <c r="B95" s="11" t="inlineStr">
        <is>
          <t>SEC-011</t>
        </is>
      </c>
      <c r="C95" s="11" t="inlineStr">
        <is>
          <t>Security</t>
        </is>
      </c>
      <c r="D95" s="11" t="inlineStr">
        <is>
          <t>Prompt Injection / Unsanitized LLM Output</t>
        </is>
      </c>
      <c r="E95" s="11" t="inlineStr">
        <is>
          <t>Risk</t>
        </is>
      </c>
      <c r="F95" s="9" t="inlineStr">
        <is>
          <t>Chatbot is instructed to answer in raw HTML and the answer is returned unsanitized</t>
        </is>
      </c>
      <c r="G95" s="9" t="inlineStr">
        <is>
          <t>The system prompt requires HTML tags (&lt;a href&gt;, &lt;b&gt;, &lt;ul&gt;) in answers; ChatService returns the model output as-is and stores it in the transcript. User messages, scraped web content and uploaded KB files all reach the prompt, so prompt injection can make the model emit &lt;script&gt;, event handlers or malicious links. Whether this becomes XSS depends on how the (out-of-scope) chat widget renders the answer, hence Low confidence.</t>
        </is>
      </c>
      <c r="H95" s="12" t="inlineStr">
        <is>
          <t>"1. Always format your responses using HTML tags for structure and readability. Use basic HTML tags such as &lt;b&gt;, &lt;strong&gt;, &lt;br&gt;, &lt;p&gt;, &lt;ul&gt;, &lt;li&gt;, and &lt;a href=\"...\"&gt;. NEVER use markdown formatting symbols (such as asterisks **...</t>
        </is>
      </c>
      <c r="I95" s="11" t="inlineStr">
        <is>
          <t>Medium</t>
        </is>
      </c>
      <c r="J95" s="11" t="inlineStr">
        <is>
          <t>Low</t>
        </is>
      </c>
      <c r="K95" s="11" t="inlineStr">
        <is>
          <t>Low</t>
        </is>
      </c>
      <c r="L95" s="11" t="inlineStr">
        <is>
          <t>M</t>
        </is>
      </c>
      <c r="M95" s="11" t="inlineStr">
        <is>
          <t>No</t>
        </is>
      </c>
      <c r="N95" s="11" t="inlineStr">
        <is>
          <t>django-app: Chatbot &amp; Sessions</t>
        </is>
      </c>
      <c r="O95" s="11" t="inlineStr">
        <is>
          <t>apps/django-app/config/settings.py</t>
        </is>
      </c>
      <c r="P95" s="11" t="inlineStr">
        <is>
          <t>276</t>
        </is>
      </c>
      <c r="Q95" s="9" t="inlineStr">
        <is>
          <t>apps/django-app/apps/chatbot/services.py:82
apps/django-app/prompts/builder.py:45</t>
        </is>
      </c>
      <c r="R95" s="11" t="n">
        <v>3</v>
      </c>
      <c r="S95" s="9" t="inlineStr">
        <is>
          <t>Possible XSS or link injection in customer browsers and in the admin transcript viewer. Needs frontend confirmation (not reviewed). Priority is Low (below Medium severity) because exploitability depends on frontend rendering that was not reviewed.</t>
        </is>
      </c>
      <c r="T95" s="9" t="inlineStr">
        <is>
          <t>Sanitize the answer server-side with an allow-list (nh3/bleach: b, strong, br, p, ul, li, a[href https only, rel noopener]) or return Markdown; treat KB/services text as untrusted data and delimit it in the prompt.</t>
        </is>
      </c>
      <c r="U95" s="9" t="inlineStr">
        <is>
          <t>Send a chat message asking the bot to include `&lt;img src=x onerror=alert(1)&gt;` and inspect the raw JSON answer; then test the widget rendering.</t>
        </is>
      </c>
      <c r="V95" s="9" t="inlineStr">
        <is>
          <t>OWASP LLM Top 10 (LLM01, LLM02); CWE-79</t>
        </is>
      </c>
      <c r="W95" s="11" t="inlineStr">
        <is>
          <t>AUTH-001</t>
        </is>
      </c>
      <c r="X95" s="11" t="inlineStr">
        <is>
          <t>Open</t>
        </is>
      </c>
    </row>
    <row r="96">
      <c r="A96" s="11" t="inlineStr">
        <is>
          <t>BrightSideCarwash-website-frontend</t>
        </is>
      </c>
      <c r="B96" s="11" t="inlineStr">
        <is>
          <t>DEP-001</t>
        </is>
      </c>
      <c r="C96" s="11" t="inlineStr">
        <is>
          <t>Dependency Management</t>
        </is>
      </c>
      <c r="D96" s="11" t="inlineStr">
        <is>
          <t>Known CVE (dev, transitive)</t>
        </is>
      </c>
      <c r="E96" s="11" t="inlineStr">
        <is>
          <t>Vulnerability</t>
        </is>
      </c>
      <c r="F96" s="9" t="inlineStr">
        <is>
          <t>npm audit: brace-expansion high-severity DoS advisories (dev-only chain)</t>
        </is>
      </c>
      <c r="G96" s="9" t="inlineStr">
        <is>
          <t>npm audit --package-lock-only reports 1 vulnerable package (brace-expansion, GHSA-qhr7-859c-m2p7, GHSA-6j4f-fj2g-mc7p, GHSA-q2hr-2g5m-vwhr; high, CVSS 7.5, CWE-400/674) via the eslint/typescript-eslint toolchain. It is not part of the production runtime bundle, so reachability is limited to developer/CI machines; a fix is reported as available. 0 critical vulnerabilities and no advisories for next, react, axios, dompurify.</t>
        </is>
      </c>
      <c r="H96" s="12" t="inlineStr">
        <is>
          <t>brace-expansion  range &lt;=1.1.20 || 4.0.0 - 5.0.11  severity: high  fixAvailable: true</t>
        </is>
      </c>
      <c r="I96" s="11" t="inlineStr">
        <is>
          <t>Medium</t>
        </is>
      </c>
      <c r="J96" s="11" t="inlineStr">
        <is>
          <t>Low</t>
        </is>
      </c>
      <c r="K96" s="11" t="inlineStr">
        <is>
          <t>High</t>
        </is>
      </c>
      <c r="L96" s="11" t="inlineStr">
        <is>
          <t>S</t>
        </is>
      </c>
      <c r="M96" s="11" t="inlineStr">
        <is>
          <t>No</t>
        </is>
      </c>
      <c r="N96" s="11" t="inlineStr">
        <is>
          <t>Build, Config &amp; Deployment</t>
        </is>
      </c>
      <c r="O96" s="11" t="inlineStr">
        <is>
          <t>package-lock.json</t>
        </is>
      </c>
      <c r="P96" s="11" t="inlineStr">
        <is>
          <t>node_modules/brace-expansion</t>
        </is>
      </c>
      <c r="Q96" s="9" t="inlineStr">
        <is>
          <t>package-lock.json (node_modules/@typescript-eslint/typescript-estree/node_modules/brace-expansion)</t>
        </is>
      </c>
      <c r="R96" s="11" t="n">
        <v>2</v>
      </c>
      <c r="S96" s="9" t="inlineStr">
        <is>
          <t>Local/CI denial of service on crafted glob input only. Severity capped at Medium and priority Low because dev-only and not reachable from the internet.</t>
        </is>
      </c>
      <c r="T96" s="9" t="inlineStr">
        <is>
          <t>Run npm update brace-expansion / npm audit fix (outside the audit) and commit the lockfile; enable Dependabot/Renovate.</t>
        </is>
      </c>
      <c r="U96" s="9" t="inlineStr">
        <is>
          <t>Run `npm audit --package-lock-only`; after fix expect 0 vulnerabilities.</t>
        </is>
      </c>
      <c r="V96" s="9" t="inlineStr">
        <is>
          <t>GHSA-qhr7-859c-m2p7; GHSA-6j4f-fj2g-mc7p; GHSA-q2hr-2g5m-vwhr; CWE-400</t>
        </is>
      </c>
      <c r="W96" s="11" t="n"/>
      <c r="X96" s="11" t="inlineStr">
        <is>
          <t>Open</t>
        </is>
      </c>
    </row>
    <row r="97">
      <c r="A97" s="11" t="inlineStr">
        <is>
          <t>BrightSideCarwash-AdminDashboard-frontend</t>
        </is>
      </c>
      <c r="B97" s="11" t="inlineStr">
        <is>
          <t>AUTH-003</t>
        </is>
      </c>
      <c r="C97" s="11" t="inlineStr">
        <is>
          <t>Authentication &amp; Authorization</t>
        </is>
      </c>
      <c r="D97" s="11" t="inlineStr">
        <is>
          <t>Password reset state in browser storage</t>
        </is>
      </c>
      <c r="E97" s="11" t="inlineStr">
        <is>
          <t>Risk</t>
        </is>
      </c>
      <c r="F97" s="9" t="inlineStr">
        <is>
          <t>Verified reset OTP is held in sessionStorage and replayed to the reset endpoint</t>
        </is>
      </c>
      <c r="G97" s="9" t="inlineStr">
        <is>
          <t>After OTP verification the raw OTP and email are stored in sessionStorage and later sent again with the new password; no server-issued single-use reset token is used. Anything that can read storage (XSS) can complete a reset if within the OTP validity window. Also the email is kept in plain storage. The flow itself is standard for OTP resets, so this is hardening.</t>
        </is>
      </c>
      <c r="H97" s="12" t="inlineStr">
        <is>
          <t>await verifyOtp({ email, otp });
sessionStorage.setItem('verifiedOtp', otp);
router.push('/reset-password');</t>
        </is>
      </c>
      <c r="I97" s="11" t="inlineStr">
        <is>
          <t>Low</t>
        </is>
      </c>
      <c r="J97" s="11" t="inlineStr">
        <is>
          <t>Low</t>
        </is>
      </c>
      <c r="K97" s="11" t="inlineStr">
        <is>
          <t>Medium</t>
        </is>
      </c>
      <c r="L97" s="11" t="inlineStr">
        <is>
          <t>M</t>
        </is>
      </c>
      <c r="M97" s="11" t="inlineStr">
        <is>
          <t>No</t>
        </is>
      </c>
      <c r="N97" s="11" t="inlineStr">
        <is>
          <t>Auth &amp; Session</t>
        </is>
      </c>
      <c r="O97" s="11" t="inlineStr">
        <is>
          <t>src/components/pages/auth-pages/verify-otp/VerifyOtpForm.tsx</t>
        </is>
      </c>
      <c r="P97" s="11" t="inlineStr">
        <is>
          <t>29-32</t>
        </is>
      </c>
      <c r="Q97" s="9" t="inlineStr">
        <is>
          <t>src/components/pages/auth-pages/reset-password/ResetPasswordForm.tsx:14-22,43-46; src/components/pages/auth-pages/forgot-password/ForgotPasswordForm.tsx:20</t>
        </is>
      </c>
      <c r="R97" s="11" t="n">
        <v>3</v>
      </c>
      <c r="S97" s="9" t="inlineStr">
        <is>
          <t>Slightly larger window for account takeover if combined with XSS.</t>
        </is>
      </c>
      <c r="T97" s="9" t="inlineStr">
        <is>
          <t>Have verify-otp return a short-lived signed reset token and keep it in memory (React state / query param on the next route) rather than the OTP.</t>
        </is>
      </c>
      <c r="U97" s="9" t="inlineStr">
        <is>
          <t>Complete verify-otp then inspect Application &gt; Session Storage for verifiedOtp.</t>
        </is>
      </c>
      <c r="V97" s="9" t="inlineStr">
        <is>
          <t>CWE-922; OWASP Forgot Password Cheat Sheet</t>
        </is>
      </c>
      <c r="W97" s="11" t="n"/>
      <c r="X97" s="11" t="inlineStr">
        <is>
          <t>Open</t>
        </is>
      </c>
    </row>
    <row r="98">
      <c r="A98" s="11" t="inlineStr">
        <is>
          <t>BrightSideCarwash-AdminDashboard-frontend</t>
        </is>
      </c>
      <c r="B98" s="11" t="inlineStr">
        <is>
          <t>BUG-005</t>
        </is>
      </c>
      <c r="C98" s="11" t="inlineStr">
        <is>
          <t>Bug / Correctness</t>
        </is>
      </c>
      <c r="D98" s="11" t="inlineStr">
        <is>
          <t>Client-fabricated audit trail</t>
        </is>
      </c>
      <c r="E98" s="11" t="inlineStr">
        <is>
          <t>Risk</t>
        </is>
      </c>
      <c r="F98" s="9" t="inlineStr">
        <is>
          <t>Lead activity timeline mixes server data with locally invented entries</t>
        </is>
      </c>
      <c r="G98" s="9" t="inlineStr">
        <is>
          <t>useLeadDetail merges activities from the API with 'local' activities kept in sessionStorage per lead (e.g. 'File deleted ... by You'). These entries never reach the server, disappear when the tab closes, are attributed to the literal string 'You', and are not tamper-proof. Users see an activity history that is not the real audit trail.</t>
        </is>
      </c>
      <c r="H98" s="12" t="inlineStr">
        <is>
          <t>const stored = sessionStorage.getItem(LOCAL_ACTIVITIES_KEY(leadId));
...
localActivities.forEach((localAct) =&gt; { if (!merged.some(...)) merged.push(localAct); });</t>
        </is>
      </c>
      <c r="I98" s="11" t="inlineStr">
        <is>
          <t>Low</t>
        </is>
      </c>
      <c r="J98" s="11" t="inlineStr">
        <is>
          <t>Low</t>
        </is>
      </c>
      <c r="K98" s="11" t="inlineStr">
        <is>
          <t>Medium</t>
        </is>
      </c>
      <c r="L98" s="11" t="inlineStr">
        <is>
          <t>M</t>
        </is>
      </c>
      <c r="M98" s="11" t="inlineStr">
        <is>
          <t>No</t>
        </is>
      </c>
      <c r="N98" s="11" t="inlineStr">
        <is>
          <t>Leads</t>
        </is>
      </c>
      <c r="O98" s="11" t="inlineStr">
        <is>
          <t>src/hooks/useLeadDetail.ts</t>
        </is>
      </c>
      <c r="P98" s="11" t="inlineStr">
        <is>
          <t>19-35</t>
        </is>
      </c>
      <c r="Q98" s="9" t="inlineStr">
        <is>
          <t>src/hooks/useLeadDetail.ts:44-54; src/components/pages/lead-detail/LeadDetailContent.tsx:213-221 (addLocalActivity)</t>
        </is>
      </c>
      <c r="R98" s="11" t="n">
        <v>3</v>
      </c>
      <c r="S98" s="9" t="inlineStr">
        <is>
          <t>Misleading history for sales follow-up and compliance; entries lost on reload/other browser.</t>
        </is>
      </c>
      <c r="T98" s="9" t="inlineStr">
        <is>
          <t>Rely on server-generated activity records only (re-fetch after mutation) and remove the sessionStorage merge.</t>
        </is>
      </c>
      <c r="U98" s="9" t="inlineStr">
        <is>
          <t>Delete an attachment on a lead, see 'File deleted ... by You'; open the same lead in another browser: the entry is absent.</t>
        </is>
      </c>
      <c r="V98" s="9" t="n"/>
      <c r="W98" s="11" t="n"/>
      <c r="X98" s="11" t="inlineStr">
        <is>
          <t>Open</t>
        </is>
      </c>
    </row>
    <row r="99">
      <c r="A99" s="11" t="inlineStr">
        <is>
          <t>BrightSideCarwash-AdminDashboard-frontend</t>
        </is>
      </c>
      <c r="B99" s="11" t="inlineStr">
        <is>
          <t>CFG-002</t>
        </is>
      </c>
      <c r="C99" s="11" t="inlineStr">
        <is>
          <t>Configuration &amp; Environment</t>
        </is>
      </c>
      <c r="D99" s="11" t="inlineStr">
        <is>
          <t>Environment-specific values in source</t>
        </is>
      </c>
      <c r="E99" s="11" t="inlineStr">
        <is>
          <t>Tech Debt</t>
        </is>
      </c>
      <c r="F99" s="9" t="inlineStr">
        <is>
          <t>Dev tunnel hostnames and LAN IPs hard-coded in next.config.ts</t>
        </is>
      </c>
      <c r="G99" s="9" t="inlineStr">
        <is>
          <t>allowedDevOrigins lists five private IPs and two trycloudflare.com tunnel URLs, and images.remotePatterns contains the same ephemeral trycloudflare hostname twice (duplicate). These are developer-machine/tunnel artefacts committed to the shared config; a trycloudflare hostname can be re-registered by a third party after expiry, and it is the only allowed remote image host (gallery URLs from the real storage domain would not load through next/image, masked by unoptimized:true).</t>
        </is>
      </c>
      <c r="H99" s="12" t="inlineStr">
        <is>
          <t>allowedDevOrigins: ['10.10.33.10','172.27.144.1', ... 'https://holiday-exposure-pocket-whilst.trycloudflare.com'],
remotePatterns: [{ protocol: "https", hostname: "holiday-exposure-pocket-whilst.trycloudflare.com" }, { ...same host }]</t>
        </is>
      </c>
      <c r="I99" s="11" t="inlineStr">
        <is>
          <t>Low</t>
        </is>
      </c>
      <c r="J99" s="11" t="inlineStr">
        <is>
          <t>Low</t>
        </is>
      </c>
      <c r="K99" s="11" t="inlineStr">
        <is>
          <t>High</t>
        </is>
      </c>
      <c r="L99" s="11" t="inlineStr">
        <is>
          <t>S</t>
        </is>
      </c>
      <c r="M99" s="11" t="inlineStr">
        <is>
          <t>No</t>
        </is>
      </c>
      <c r="N99" s="11" t="inlineStr">
        <is>
          <t>Build &amp; Deploy Config</t>
        </is>
      </c>
      <c r="O99" s="11" t="inlineStr">
        <is>
          <t>next.config.ts</t>
        </is>
      </c>
      <c r="P99" s="11" t="inlineStr">
        <is>
          <t>5-14</t>
        </is>
      </c>
      <c r="Q99" s="9" t="inlineStr">
        <is>
          <t>next.config.ts:17-28</t>
        </is>
      </c>
      <c r="R99" s="11" t="n">
        <v>2</v>
      </c>
      <c r="S99" s="9" t="inlineStr">
        <is>
          <t>Config drift and a stale allow-listed host; noise for other developers.</t>
        </is>
      </c>
      <c r="T99" s="9" t="inlineStr">
        <is>
          <t>Drive allowedDevOrigins and remotePatterns from env vars, remove duplicates, keep the storage/CDN domain only.</t>
        </is>
      </c>
      <c r="U99" s="9" t="inlineStr">
        <is>
          <t>Open next.config.ts.</t>
        </is>
      </c>
      <c r="V99" s="9" t="inlineStr">
        <is>
          <t>Next.js docs: allowedDevOrigins, images.remotePatterns</t>
        </is>
      </c>
      <c r="W99" s="11" t="n"/>
      <c r="X99" s="11" t="inlineStr">
        <is>
          <t>Open</t>
        </is>
      </c>
    </row>
    <row r="100">
      <c r="A100" s="11" t="inlineStr">
        <is>
          <t>BrightSideCarwash-AdminDashboard-frontend</t>
        </is>
      </c>
      <c r="B100" s="11" t="inlineStr">
        <is>
          <t>CFG-003</t>
        </is>
      </c>
      <c r="C100" s="11" t="inlineStr">
        <is>
          <t>Configuration &amp; Environment</t>
        </is>
      </c>
      <c r="D100" s="11" t="inlineStr">
        <is>
          <t>Hard-coded mock credentials</t>
        </is>
      </c>
      <c r="E100" s="11" t="inlineStr">
        <is>
          <t>Risk</t>
        </is>
      </c>
      <c r="F100" s="9" t="inlineStr">
        <is>
          <t>Mock admin credentials and OTP hard-coded in shipped config</t>
        </is>
      </c>
      <c r="G100" s="9" t="inlineStr">
        <is>
          <t>AUTH_CONFIG holds a mock admin email/password and a fixed OTP in a module imported by client code (mocks/auth.mock.ts). These strings are part of any bundle that imports them. If mock mode were enabled in a deployed build, the credentials would grant a fake admin session in the UI. The password is redacted here: Ad****3!. The real backend is unaffected.</t>
        </is>
      </c>
      <c r="H100" s="12" t="inlineStr">
        <is>
          <t>MOCK_CREDENTIALS: { email: 'admin@email.com', password: 'Ad****3!' },
MOCK_OTP: '12****',</t>
        </is>
      </c>
      <c r="I100" s="11" t="inlineStr">
        <is>
          <t>Low</t>
        </is>
      </c>
      <c r="J100" s="11" t="inlineStr">
        <is>
          <t>Low</t>
        </is>
      </c>
      <c r="K100" s="11" t="inlineStr">
        <is>
          <t>Medium</t>
        </is>
      </c>
      <c r="L100" s="11" t="inlineStr">
        <is>
          <t>S</t>
        </is>
      </c>
      <c r="M100" s="11" t="inlineStr">
        <is>
          <t>No</t>
        </is>
      </c>
      <c r="N100" s="11" t="inlineStr">
        <is>
          <t>Auth &amp; Session</t>
        </is>
      </c>
      <c r="O100" s="11" t="inlineStr">
        <is>
          <t>src/configs/auth.config.ts</t>
        </is>
      </c>
      <c r="P100" s="11" t="inlineStr">
        <is>
          <t>1-6</t>
        </is>
      </c>
      <c r="Q100" s="9" t="inlineStr">
        <is>
          <t>src/mocks/auth.mock.ts:8,32,82-100</t>
        </is>
      </c>
      <c r="R100" s="11" t="n">
        <v>2</v>
      </c>
      <c r="S100" s="9" t="inlineStr">
        <is>
          <t>Credential-shaped strings in production bundle trigger secret scanners and could be mistaken for real accounts; mock login path exists in prod code.</t>
        </is>
      </c>
      <c r="T100" s="9" t="inlineStr">
        <is>
          <t>Move mock credentials into the mock module excluded from production builds (see MAINT-001).</t>
        </is>
      </c>
      <c r="U100" s="9" t="inlineStr">
        <is>
          <t>grep -rn MOCK_CREDENTIALS src</t>
        </is>
      </c>
      <c r="V100" s="9" t="inlineStr">
        <is>
          <t>CWE-798</t>
        </is>
      </c>
      <c r="W100" s="11" t="inlineStr">
        <is>
          <t>MAINT-001</t>
        </is>
      </c>
      <c r="X100" s="11" t="inlineStr">
        <is>
          <t>Open</t>
        </is>
      </c>
    </row>
    <row r="101">
      <c r="A101" s="11" t="inlineStr">
        <is>
          <t>BrightSideCarwash-AdminDashboard-frontend</t>
        </is>
      </c>
      <c r="B101" s="11" t="inlineStr">
        <is>
          <t>CQ-001</t>
        </is>
      </c>
      <c r="C101" s="11" t="inlineStr">
        <is>
          <t>Code Quality</t>
        </is>
      </c>
      <c r="D101" s="11" t="inlineStr">
        <is>
          <t>Dead / duplicated code</t>
        </is>
      </c>
      <c r="E101" s="11" t="inlineStr">
        <is>
          <t>Tech Debt</t>
        </is>
      </c>
      <c r="F101" s="9" t="inlineStr">
        <is>
          <t>Dead authApi endpoints and two divergent mapUser implementations</t>
        </is>
      </c>
      <c r="G101" s="9" t="inlineStr">
        <is>
          <t>auth.api.ts and auth.endpoints.ts (RTK authApi and its hooks) are registered in the store but their hooks are not used anywhere; the app calls auth.service.ts instead. The two files each contain a mapUser(): the one in auth.endpoints.ts omits roleId/roles/roleIds/avatar_url, so results would silently differ if the dead path were ever used. auth.endpoints also maps every failure to hard-coded HTTP statuses.</t>
        </is>
      </c>
      <c r="H101" s="12" t="inlineStr">
        <is>
          <t>// auth.endpoints.ts:8-18 mapUser -&gt; no roles/roleIds
// auth.service.ts:16-33 mapUser -&gt; roles, roleIds, roleId, avatar_url</t>
        </is>
      </c>
      <c r="I101" s="11" t="inlineStr">
        <is>
          <t>Low</t>
        </is>
      </c>
      <c r="J101" s="11" t="inlineStr">
        <is>
          <t>Low</t>
        </is>
      </c>
      <c r="K101" s="11" t="inlineStr">
        <is>
          <t>High</t>
        </is>
      </c>
      <c r="L101" s="11" t="inlineStr">
        <is>
          <t>S</t>
        </is>
      </c>
      <c r="M101" s="11" t="inlineStr">
        <is>
          <t>No</t>
        </is>
      </c>
      <c r="N101" s="11" t="inlineStr">
        <is>
          <t>Auth &amp; Session</t>
        </is>
      </c>
      <c r="O101" s="11" t="inlineStr">
        <is>
          <t>src/services/auth.endpoints.ts</t>
        </is>
      </c>
      <c r="P101" s="11" t="inlineStr">
        <is>
          <t>8-18</t>
        </is>
      </c>
      <c r="Q101" s="9" t="inlineStr">
        <is>
          <t>src/services/auth.service.ts:16-33; src/services/auth.api.ts; src/lib/store.ts:3,32,60</t>
        </is>
      </c>
      <c r="R101" s="11" t="n">
        <v>4</v>
      </c>
      <c r="S101" s="9" t="inlineStr">
        <is>
          <t>Confusion and risk of using the wrong (less complete) mapping, permission logic depends on roles.</t>
        </is>
      </c>
      <c r="T101" s="9" t="inlineStr">
        <is>
          <t>Delete auth.api.ts/auth.endpoints.ts and the authApi store entries, or make auth.service the single implementation they call.</t>
        </is>
      </c>
      <c r="U101" s="9" t="inlineStr">
        <is>
          <t>grep -rn 'useLoginMutation\|authApi' src (only definition/store references).</t>
        </is>
      </c>
      <c r="V101" s="9" t="n"/>
      <c r="W101" s="11" t="n"/>
      <c r="X101" s="11" t="inlineStr">
        <is>
          <t>Open</t>
        </is>
      </c>
    </row>
    <row r="102">
      <c r="A102" s="11" t="inlineStr">
        <is>
          <t>BrightSideCarwash-AdminDashboard-frontend</t>
        </is>
      </c>
      <c r="B102" s="11" t="inlineStr">
        <is>
          <t>DEP-004</t>
        </is>
      </c>
      <c r="C102" s="11" t="inlineStr">
        <is>
          <t>Dependency Management</t>
        </is>
      </c>
      <c r="D102" s="11" t="inlineStr">
        <is>
          <t>Unused / deprecated dependencies</t>
        </is>
      </c>
      <c r="E102" s="11" t="inlineStr">
        <is>
          <t>Tech Debt</t>
        </is>
      </c>
      <c r="F102" s="9" t="inlineStr">
        <is>
          <t>jspdf, jspdf-autotable and @types/jspdf declared but not used</t>
        </is>
      </c>
      <c r="G102" s="9" t="inlineStr">
        <is>
          <t>No source file imports jspdf or jspdf-autotable (grep of src for "from 'jspdf'"), and @types/jspdf is a deprecated stub (jspdf ships its own types). Unused packages enlarge install/attack surface and audit noise.</t>
        </is>
      </c>
      <c r="H102" s="12" t="inlineStr">
        <is>
          <t>"jspdf": "^4.2.1",
"jspdf-autotable": "^5.0.8",
"@types/jspdf": "^1.3.3"</t>
        </is>
      </c>
      <c r="I102" s="11" t="inlineStr">
        <is>
          <t>Low</t>
        </is>
      </c>
      <c r="J102" s="11" t="inlineStr">
        <is>
          <t>Low</t>
        </is>
      </c>
      <c r="K102" s="11" t="inlineStr">
        <is>
          <t>Medium</t>
        </is>
      </c>
      <c r="L102" s="11" t="inlineStr">
        <is>
          <t>S</t>
        </is>
      </c>
      <c r="M102" s="11" t="inlineStr">
        <is>
          <t>No</t>
        </is>
      </c>
      <c r="N102" s="11" t="inlineStr">
        <is>
          <t>Dependencies &amp; Tooling</t>
        </is>
      </c>
      <c r="O102" s="11" t="inlineStr">
        <is>
          <t>package.json</t>
        </is>
      </c>
      <c r="P102" s="11" t="inlineStr">
        <is>
          <t>37-38</t>
        </is>
      </c>
      <c r="Q102" s="9" t="inlineStr">
        <is>
          <t>package.json:55 (@types/jspdf)</t>
        </is>
      </c>
      <c r="R102" s="11" t="n">
        <v>3</v>
      </c>
      <c r="S102" s="9" t="inlineStr">
        <is>
          <t>Slightly larger install and supply-chain surface; no runtime bundle impact if not imported.</t>
        </is>
      </c>
      <c r="T102" s="9" t="inlineStr">
        <is>
          <t>Remove the unused packages (or implement the PDF export they were intended for); run depcheck in CI.</t>
        </is>
      </c>
      <c r="U102" s="9" t="inlineStr">
        <is>
          <t>grep -rn jspdf src returns nothing; npx depcheck.</t>
        </is>
      </c>
      <c r="V102" s="9" t="n"/>
      <c r="W102" s="11" t="n"/>
      <c r="X102" s="11" t="inlineStr">
        <is>
          <t>Open</t>
        </is>
      </c>
    </row>
    <row r="103">
      <c r="A103" s="11" t="inlineStr">
        <is>
          <t>BrightSideCarwash-AdminDashboard-frontend</t>
        </is>
      </c>
      <c r="B103" s="11" t="inlineStr">
        <is>
          <t>ERR-002</t>
        </is>
      </c>
      <c r="C103" s="11" t="inlineStr">
        <is>
          <t>Error Handling &amp; Resilience</t>
        </is>
      </c>
      <c r="D103" s="11" t="inlineStr">
        <is>
          <t>Swallowed exceptions</t>
        </is>
      </c>
      <c r="E103" s="11" t="inlineStr">
        <is>
          <t>Risk</t>
        </is>
      </c>
      <c r="F103" s="9" t="inlineStr">
        <is>
          <t>Empty catch blocks hide failures, including permission-revert failures</t>
        </is>
      </c>
      <c r="G103" s="9" t="inlineStr">
        <is>
          <t>Nine empty catch blocks silently drop errors. Notably useTeamPermissions optimistically writes new permissions into Redux before the API call and, if the revert profile fetch fails, keeps the unsaved (possibly elevated) permissions in the UI silently; AiChatbox user-list loading and lead-note parsing also fail silently.</t>
        </is>
      </c>
      <c r="H103" s="12" t="inlineStr">
        <is>
          <t>} catch {}   // useTeamPermissions.ts:78, 89 (revert of optimistic permissions)
} catch { }  // AiChatbox.tsx:107 (user list load)</t>
        </is>
      </c>
      <c r="I103" s="11" t="inlineStr">
        <is>
          <t>Low</t>
        </is>
      </c>
      <c r="J103" s="11" t="inlineStr">
        <is>
          <t>Low</t>
        </is>
      </c>
      <c r="K103" s="11" t="inlineStr">
        <is>
          <t>High</t>
        </is>
      </c>
      <c r="L103" s="11" t="inlineStr">
        <is>
          <t>S</t>
        </is>
      </c>
      <c r="M103" s="11" t="inlineStr">
        <is>
          <t>No</t>
        </is>
      </c>
      <c r="N103" s="11" t="inlineStr">
        <is>
          <t>Cross-cutting</t>
        </is>
      </c>
      <c r="O103" s="11" t="inlineStr">
        <is>
          <t>src/hooks/useTeamPermissions.ts</t>
        </is>
      </c>
      <c r="P103" s="11" t="inlineStr">
        <is>
          <t>75-90</t>
        </is>
      </c>
      <c r="Q103" s="9" t="inlineStr">
        <is>
          <t>src/hooks/useTeamPermissions.ts:54; src/components/pages/AiChatbox/AiChatbox.tsx:107; src/components/pages/lead-detail/NotesSection/NotesList.tsx:29; src/hooks/useLeadDetail.ts:26,34; src/hooks/useAuth.ts:57; src/services/leads.api.ts:78</t>
        </is>
      </c>
      <c r="R103" s="11" t="n">
        <v>9</v>
      </c>
      <c r="S103" s="9" t="inlineStr">
        <is>
          <t>Stale or wrong UI state (UI showing permissions the user does not actually have), silent data-load failures that are hard to diagnose.</t>
        </is>
      </c>
      <c r="T103" s="9" t="inlineStr">
        <is>
          <t>At minimum log to an error reporter and show a toast; for optimistic permission updates, only apply after server success or guarantee rollback.</t>
        </is>
      </c>
      <c r="U103" s="9" t="inlineStr">
        <is>
          <t>Fail the /auth/me call after saving a role's permissions (offline) and note that the sidebar reflects unsaved permissions.</t>
        </is>
      </c>
      <c r="V103" s="9" t="inlineStr">
        <is>
          <t>CWE-390, CWE-755</t>
        </is>
      </c>
      <c r="W103" s="11" t="n"/>
      <c r="X103" s="11" t="inlineStr">
        <is>
          <t>Open</t>
        </is>
      </c>
    </row>
    <row r="104">
      <c r="A104" s="11" t="inlineStr">
        <is>
          <t>BrightSideCarwash-AdminDashboard-frontend</t>
        </is>
      </c>
      <c r="B104" s="11" t="inlineStr">
        <is>
          <t>ERR-003</t>
        </is>
      </c>
      <c r="C104" s="11" t="inlineStr">
        <is>
          <t>Error Handling &amp; Resilience</t>
        </is>
      </c>
      <c r="D104" s="11" t="inlineStr">
        <is>
          <t>No error boundaries</t>
        </is>
      </c>
      <c r="E104" s="11" t="inlineStr">
        <is>
          <t>Improvement</t>
        </is>
      </c>
      <c r="F104" s="9" t="inlineStr">
        <is>
          <t>No error.tsx, global-error.tsx or not-found.tsx in the App Router tree</t>
        </is>
      </c>
      <c r="G104" s="9" t="inlineStr">
        <is>
          <t>Searched src/app for error.tsx/global-error/not-found: none exist. An unhandled render error in any admin page unmounts the whole tree with the default Next.js error screen (in production a blank generic error), and 404s use the framework default with no way back to the dashboard.</t>
        </is>
      </c>
      <c r="H104" s="12" t="inlineStr">
        <is>
          <t>src/app/: (admin)/, (auth)/, StoreProvider.tsx, globals.css, layout.tsx, page.tsx   // no error.tsx / not-found.tsx</t>
        </is>
      </c>
      <c r="I104" s="11" t="inlineStr">
        <is>
          <t>Low</t>
        </is>
      </c>
      <c r="J104" s="11" t="inlineStr">
        <is>
          <t>Low</t>
        </is>
      </c>
      <c r="K104" s="11" t="inlineStr">
        <is>
          <t>High</t>
        </is>
      </c>
      <c r="L104" s="11" t="inlineStr">
        <is>
          <t>S</t>
        </is>
      </c>
      <c r="M104" s="11" t="inlineStr">
        <is>
          <t>No</t>
        </is>
      </c>
      <c r="N104" s="11" t="inlineStr">
        <is>
          <t>Shared UI &amp; App Shell</t>
        </is>
      </c>
      <c r="O104" s="11" t="inlineStr">
        <is>
          <t>src/app/layout.tsx</t>
        </is>
      </c>
      <c r="P104" s="11" t="inlineStr">
        <is>
          <t>34-54</t>
        </is>
      </c>
      <c r="Q104" s="9" t="n"/>
      <c r="R104" s="11" t="n">
        <v>1</v>
      </c>
      <c r="S104" s="9" t="inlineStr">
        <is>
          <t>Poor recoverability and no error reporting hook on render failures.</t>
        </is>
      </c>
      <c r="T104" s="9" t="inlineStr">
        <is>
          <t>Add app/error.tsx, app/global-error.tsx and app/not-found.tsx (with retry and navigation), and wire them to an error tracker.</t>
        </is>
      </c>
      <c r="U104" s="9" t="inlineStr">
        <is>
          <t>Throw an error in any page component; observe the default error UI without app chrome.</t>
        </is>
      </c>
      <c r="V104" s="9" t="inlineStr">
        <is>
          <t>Next.js docs: Error Handling</t>
        </is>
      </c>
      <c r="W104" s="11" t="n"/>
      <c r="X104" s="11" t="inlineStr">
        <is>
          <t>Open</t>
        </is>
      </c>
    </row>
    <row r="105">
      <c r="A105" s="11" t="inlineStr">
        <is>
          <t>BrightSideCarwash-AdminDashboard-frontend</t>
        </is>
      </c>
      <c r="B105" s="11" t="inlineStr">
        <is>
          <t>FE-001</t>
        </is>
      </c>
      <c r="C105" s="11" t="inlineStr">
        <is>
          <t>Frontend / UX / Accessibility</t>
        </is>
      </c>
      <c r="D105" s="11" t="inlineStr">
        <is>
          <t>Modal accessibility</t>
        </is>
      </c>
      <c r="E105" s="11" t="inlineStr">
        <is>
          <t>Improvement</t>
        </is>
      </c>
      <c r="F105" s="9" t="inlineStr">
        <is>
          <t>Shared Modal lacks dialog semantics, focus trap and focus restore</t>
        </is>
      </c>
      <c r="G105" s="9" t="inlineStr">
        <is>
          <t>Modal.tsx renders a plain div with only Escape-to-close and body scroll lock. It has no role='dialog', aria-modal, aria-labelledby, initial focus, focus trap or focus return, and the overlay is a click-only div. Every dialog in the product (29 files use &lt;Modal&gt;) inherits this. Related: 4 clickable &lt;div onClick&gt; elements and only ~21 aria-/role attributes across the whole UI (count-based, sampled).</t>
        </is>
      </c>
      <c r="H105" s="12" t="inlineStr">
        <is>
          <t>if (e.key === "Escape") onClose();
...
&lt;div className="fixed inset-0 z-100 flex items-center justify-center p-4"&gt;
  &lt;div className="fixed inset-0 bg-black/40 ..." onClick={onClose} /&gt;</t>
        </is>
      </c>
      <c r="I105" s="11" t="inlineStr">
        <is>
          <t>Low</t>
        </is>
      </c>
      <c r="J105" s="11" t="inlineStr">
        <is>
          <t>Low</t>
        </is>
      </c>
      <c r="K105" s="11" t="inlineStr">
        <is>
          <t>High</t>
        </is>
      </c>
      <c r="L105" s="11" t="inlineStr">
        <is>
          <t>M</t>
        </is>
      </c>
      <c r="M105" s="11" t="inlineStr">
        <is>
          <t>No</t>
        </is>
      </c>
      <c r="N105" s="11" t="inlineStr">
        <is>
          <t>Shared UI &amp; App Shell</t>
        </is>
      </c>
      <c r="O105" s="11" t="inlineStr">
        <is>
          <t>src/components/ui/Modal.tsx</t>
        </is>
      </c>
      <c r="P105" s="11" t="inlineStr">
        <is>
          <t>23-54</t>
        </is>
      </c>
      <c r="Q105" s="9" t="inlineStr">
        <is>
          <t>4 x &lt;div onClick&gt; across src/components (grep '&lt;div[^&gt;]*onClick')</t>
        </is>
      </c>
      <c r="R105" s="11" t="n">
        <v>5</v>
      </c>
      <c r="S105" s="9" t="inlineStr">
        <is>
          <t>Keyboard and screen-reader users cannot use dialogs reliably (WCAG 2.1.1, 2.4.3, 4.1.2).</t>
        </is>
      </c>
      <c r="T105" s="9" t="inlineStr">
        <is>
          <t>Adopt a headless dialog (Radix/Headless UI/native &lt;dialog&gt;) or add role/aria attributes, focus trap and focus restore in Modal; convert div click targets to buttons.</t>
        </is>
      </c>
      <c r="U105" s="9" t="inlineStr">
        <is>
          <t>Open any modal and press Tab: focus leaves the dialog and moves behind the overlay; run axe DevTools.</t>
        </is>
      </c>
      <c r="V105" s="9" t="inlineStr">
        <is>
          <t>WCAG 2.1 SC 2.1.1, 2.4.3, 4.1.2; WAI-ARIA APG Dialog (Modal)</t>
        </is>
      </c>
      <c r="W105" s="11" t="n"/>
      <c r="X105" s="11" t="inlineStr">
        <is>
          <t>Open</t>
        </is>
      </c>
    </row>
    <row r="106">
      <c r="A106" s="11" t="inlineStr">
        <is>
          <t>BrightSideCarwash-AdminDashboard-frontend</t>
        </is>
      </c>
      <c r="B106" s="11" t="inlineStr">
        <is>
          <t>MAINT-002</t>
        </is>
      </c>
      <c r="C106" s="11" t="inlineStr">
        <is>
          <t>Maintainability &amp; Tech Debt</t>
        </is>
      </c>
      <c r="D106" s="11" t="inlineStr">
        <is>
          <t>Outdated/misleading documentation</t>
        </is>
      </c>
      <c r="E106" s="11" t="inlineStr">
        <is>
          <t>Tech Debt</t>
        </is>
      </c>
      <c r="F106" s="9" t="inlineStr">
        <is>
          <t>README describes a different architecture than the code</t>
        </is>
      </c>
      <c r="G106" s="9" t="inlineStr">
        <is>
          <t>README states Next.js 15, httpOnly cookies, in-memory token cache, a proactive refresh every 60s in hooks/useTokenRefresh.ts (file does not exist) and MOCK_MODE toggled in app.config.ts (it is env-driven). The document ends abruptly mid code block. No setup, env variable list, build/deploy or permissions documentation exists.</t>
        </is>
      </c>
      <c r="H106" s="12" t="inlineStr">
        <is>
          <t>| Auth Strategy | httpOnly cookies (access + refresh tokens) |
| Proactive | Every 60 seconds via `setInterval` | `hooks/useTokenRefresh.ts` |</t>
        </is>
      </c>
      <c r="I106" s="11" t="inlineStr">
        <is>
          <t>Low</t>
        </is>
      </c>
      <c r="J106" s="11" t="inlineStr">
        <is>
          <t>Low</t>
        </is>
      </c>
      <c r="K106" s="11" t="inlineStr">
        <is>
          <t>High</t>
        </is>
      </c>
      <c r="L106" s="11" t="inlineStr">
        <is>
          <t>S</t>
        </is>
      </c>
      <c r="M106" s="11" t="inlineStr">
        <is>
          <t>No</t>
        </is>
      </c>
      <c r="N106" s="11" t="inlineStr">
        <is>
          <t>Documentation</t>
        </is>
      </c>
      <c r="O106" s="11" t="inlineStr">
        <is>
          <t>README.md</t>
        </is>
      </c>
      <c r="P106" s="11" t="inlineStr">
        <is>
          <t>20-36</t>
        </is>
      </c>
      <c r="Q106" s="9" t="inlineStr">
        <is>
          <t>README.md:5 (Next.js 15+, trailing '......'); package.json:31 (next ^16.3.0)</t>
        </is>
      </c>
      <c r="R106" s="11" t="n">
        <v>3</v>
      </c>
      <c r="S106" s="9" t="inlineStr">
        <is>
          <t>Reviewers and new developers rely on false security claims (see SEC-001) and missing setup information.</t>
        </is>
      </c>
      <c r="T106" s="9" t="inlineStr">
        <is>
          <t>Rewrite the README to reflect actual auth flow, list required env vars (names only), scripts, Docker/Vercel deployment and the RBAC model.</t>
        </is>
      </c>
      <c r="U106" s="9" t="inlineStr">
        <is>
          <t>Compare README with src/lib/auth-client.ts and package.json.</t>
        </is>
      </c>
      <c r="V106" s="9" t="n"/>
      <c r="W106" s="11" t="n"/>
      <c r="X106" s="11" t="inlineStr">
        <is>
          <t>Open</t>
        </is>
      </c>
    </row>
    <row r="107">
      <c r="A107" s="11" t="inlineStr">
        <is>
          <t>BrightSideCarwash-AdminDashboard-frontend</t>
        </is>
      </c>
      <c r="B107" s="11" t="inlineStr">
        <is>
          <t>OBS-001</t>
        </is>
      </c>
      <c r="C107" s="11" t="inlineStr">
        <is>
          <t>Logging &amp; Monitoring</t>
        </is>
      </c>
      <c r="D107" s="11" t="inlineStr">
        <is>
          <t>Debug logging / no telemetry</t>
        </is>
      </c>
      <c r="E107" s="11" t="inlineStr">
        <is>
          <t>Improvement</t>
        </is>
      </c>
      <c r="F107" s="9" t="inlineStr">
        <is>
          <t>48 console.* calls incl. debug dumps; no client error monitoring</t>
        </is>
      </c>
      <c r="G107" s="9" t="inlineStr">
        <is>
          <t>Production code logs template data, filter values, image URLs and socket state to the console (TemplatesList, HeroBackgroundImage, useCampaignFilters, SocketContext). There is no Sentry/OpenTelemetry/web-vitals or error reporting integration in package.json or src, so client-side failures are invisible to the team.</t>
        </is>
      </c>
      <c r="H107" s="12" t="inlineStr">
        <is>
          <t>console.log("editorTypes", editorTypes);
console.log("templates", templates);
console.log("Connected to notification namespace");</t>
        </is>
      </c>
      <c r="I107" s="11" t="inlineStr">
        <is>
          <t>Low</t>
        </is>
      </c>
      <c r="J107" s="11" t="inlineStr">
        <is>
          <t>Low</t>
        </is>
      </c>
      <c r="K107" s="11" t="inlineStr">
        <is>
          <t>High</t>
        </is>
      </c>
      <c r="L107" s="11" t="inlineStr">
        <is>
          <t>S</t>
        </is>
      </c>
      <c r="M107" s="11" t="inlineStr">
        <is>
          <t>No</t>
        </is>
      </c>
      <c r="N107" s="11" t="inlineStr">
        <is>
          <t>Cross-cutting</t>
        </is>
      </c>
      <c r="O107" s="11" t="inlineStr">
        <is>
          <t>src/components/pages/campaigns/create/templates/TemplatesList.tsx</t>
        </is>
      </c>
      <c r="P107" s="11" t="inlineStr">
        <is>
          <t>108-110</t>
        </is>
      </c>
      <c r="Q107" s="9" t="inlineStr">
        <is>
          <t>src/components/pages/website-cms/hero/HeroBackgroundImage.tsx:132; HeroBackgroundImageItem.tsx:40,50; src/hooks/useCampaignFilters.ts:16,45,50,56; src/hooks/useCampaignActions.ts:22; src/context/SocketContext.tsx:43,57 (48 console calls in total)</t>
        </is>
      </c>
      <c r="R107" s="11" t="n">
        <v>48</v>
      </c>
      <c r="S107" s="9" t="inlineStr">
        <is>
          <t>Noise and potential business-data exposure in browser consoles; no way to detect production client errors.</t>
        </is>
      </c>
      <c r="T107" s="9" t="inlineStr">
        <is>
          <t>Remove debug logs (add eslint no-console), and integrate an error tracker (Sentry) with user/session tagging.</t>
        </is>
      </c>
      <c r="U107" s="9" t="inlineStr">
        <is>
          <t>grep -rn 'console\.' src; open DevTools console while using Campaigns &gt; Templates.</t>
        </is>
      </c>
      <c r="V107" s="9" t="n"/>
      <c r="W107" s="11" t="n"/>
      <c r="X107" s="11" t="inlineStr">
        <is>
          <t>Open</t>
        </is>
      </c>
    </row>
    <row r="108">
      <c r="A108" s="11" t="inlineStr">
        <is>
          <t>BrightSideCarwash-AdminDashboard-frontend</t>
        </is>
      </c>
      <c r="B108" s="11" t="inlineStr">
        <is>
          <t>PERF-001</t>
        </is>
      </c>
      <c r="C108" s="11" t="inlineStr">
        <is>
          <t>Performance &amp; Scalability</t>
        </is>
      </c>
      <c r="D108" s="11" t="inlineStr">
        <is>
          <t>Duplicate side effects in hook</t>
        </is>
      </c>
      <c r="E108" s="11" t="inlineStr">
        <is>
          <t>Defect</t>
        </is>
      </c>
      <c r="F108" s="9" t="inlineStr">
        <is>
          <t>useAuth attaches focus/broadcast listeners and refetches profile per call site</t>
        </is>
      </c>
      <c r="G108" s="9" t="inlineStr">
        <is>
          <t>useAuth() is a stateful hook with three effects (initAuth, profile load, focus + BroadcastChannel refresh) and is called from Sidebar, SocketContext and LoginForm. Each mounted call site runs its own focus handler, so every window focus triggers at least two /auth/me requests, each dispatching a fresh user object (also re-rendering every user selector and reconnecting the socket - see BUG-003). The BroadcastChannel is only sent by useTeamPermissions.</t>
        </is>
      </c>
      <c r="H108" s="12" t="inlineStr">
        <is>
          <t>window.addEventListener("focus", handleFocus);   // registered by every useAuth() consumer
const profile = await authService.getProfile();
dispatch(setUser(profile));</t>
        </is>
      </c>
      <c r="I108" s="11" t="inlineStr">
        <is>
          <t>Low</t>
        </is>
      </c>
      <c r="J108" s="11" t="inlineStr">
        <is>
          <t>Low</t>
        </is>
      </c>
      <c r="K108" s="11" t="inlineStr">
        <is>
          <t>High</t>
        </is>
      </c>
      <c r="L108" s="11" t="inlineStr">
        <is>
          <t>S</t>
        </is>
      </c>
      <c r="M108" s="11" t="inlineStr">
        <is>
          <t>No</t>
        </is>
      </c>
      <c r="N108" s="11" t="inlineStr">
        <is>
          <t>Auth &amp; Session</t>
        </is>
      </c>
      <c r="O108" s="11" t="inlineStr">
        <is>
          <t>src/hooks/useAuth.ts</t>
        </is>
      </c>
      <c r="P108" s="11" t="inlineStr">
        <is>
          <t>48-81</t>
        </is>
      </c>
      <c r="Q108" s="9" t="inlineStr">
        <is>
          <t>src/components/shared/Sidebar.tsx; src/context/SocketContext.tsx:26; src/components/pages/auth-pages/login/LoginForm.tsx:10</t>
        </is>
      </c>
      <c r="R108" s="11" t="n">
        <v>3</v>
      </c>
      <c r="S108" s="9" t="inlineStr">
        <is>
          <t>Redundant network traffic and re-render churn on every focus.</t>
        </is>
      </c>
      <c r="T108" s="9" t="inlineStr">
        <is>
          <t>Move session bootstrap/focus refresh into a single provider (AuthProvider) and keep useAuth as a pure selector + actions; only dispatch setUser when data changed; debounce focus refreshes.</t>
        </is>
      </c>
      <c r="U108" s="9" t="inlineStr">
        <is>
          <t>Focus the tab and count GET /auth/me in Network (&gt;= 2 per focus).</t>
        </is>
      </c>
      <c r="V108" s="9" t="n"/>
      <c r="W108" s="11" t="inlineStr">
        <is>
          <t>BUG-003</t>
        </is>
      </c>
      <c r="X108" s="11" t="inlineStr">
        <is>
          <t>Open</t>
        </is>
      </c>
    </row>
    <row r="109">
      <c r="A109" s="11" t="inlineStr">
        <is>
          <t>BrightSideCarwash-AdminDashboard-frontend</t>
        </is>
      </c>
      <c r="B109" s="11" t="inlineStr">
        <is>
          <t>PERF-002</t>
        </is>
      </c>
      <c r="C109" s="11" t="inlineStr">
        <is>
          <t>Performance &amp; Scalability</t>
        </is>
      </c>
      <c r="D109" s="11" t="inlineStr">
        <is>
          <t>Image optimisation disabled</t>
        </is>
      </c>
      <c r="E109" s="11" t="inlineStr">
        <is>
          <t>Improvement</t>
        </is>
      </c>
      <c r="F109" s="9" t="inlineStr">
        <is>
          <t>next/image optimisation disabled and raw &lt;img&gt; used for content images</t>
        </is>
      </c>
      <c r="G109" s="9" t="inlineStr">
        <is>
          <t>images.unoptimized is true globally and 13 &lt;img&gt; tags (activity log avatars, news/gallery previews) are used directly, so the gallery/news/hero pages ship original-size uploads with no responsive sizing or lazy loading. Gallery and hero images are CMS uploads that can be several MB.</t>
        </is>
      </c>
      <c r="H109" s="12" t="inlineStr">
        <is>
          <t>images: {
		unoptimized: true,
		remotePatterns: [ ...</t>
        </is>
      </c>
      <c r="I109" s="11" t="inlineStr">
        <is>
          <t>Low</t>
        </is>
      </c>
      <c r="J109" s="11" t="inlineStr">
        <is>
          <t>Low</t>
        </is>
      </c>
      <c r="K109" s="11" t="inlineStr">
        <is>
          <t>Medium</t>
        </is>
      </c>
      <c r="L109" s="11" t="inlineStr">
        <is>
          <t>M</t>
        </is>
      </c>
      <c r="M109" s="11" t="inlineStr">
        <is>
          <t>No</t>
        </is>
      </c>
      <c r="N109" s="11" t="inlineStr">
        <is>
          <t>Website CMS</t>
        </is>
      </c>
      <c r="O109" s="11" t="inlineStr">
        <is>
          <t>next.config.ts</t>
        </is>
      </c>
      <c r="P109" s="11" t="inlineStr">
        <is>
          <t>15-17</t>
        </is>
      </c>
      <c r="Q109" s="9" t="inlineStr">
        <is>
          <t>src/components/pages/activity-log/ActivityLogRow.tsx:45; src/components/pages/website-cms/news/NewsImageUpload.tsx:34 (13 &lt;img&gt; in total)</t>
        </is>
      </c>
      <c r="R109" s="11" t="n">
        <v>14</v>
      </c>
      <c r="S109" s="9" t="inlineStr">
        <is>
          <t>Slower CMS pages and higher bandwidth, especially on mobile/limited connections.</t>
        </is>
      </c>
      <c r="T109" s="9" t="inlineStr">
        <is>
          <t>Enable optimisation (or use a loader for the storage CDN), use next/image with sizes, and add width/height + loading='lazy' for thumbnails.</t>
        </is>
      </c>
      <c r="U109" s="9" t="inlineStr">
        <is>
          <t>Open Website CMS &gt; Gallery with a 5 MB image and inspect transferred size in Network.</t>
        </is>
      </c>
      <c r="V109" s="9" t="inlineStr">
        <is>
          <t>Next.js docs: Image Optimization</t>
        </is>
      </c>
      <c r="W109" s="11" t="n"/>
      <c r="X109" s="11" t="inlineStr">
        <is>
          <t>Open</t>
        </is>
      </c>
    </row>
    <row r="110">
      <c r="A110" s="11" t="inlineStr">
        <is>
          <t>BrightSideCarwash-AdminDashboard-frontend</t>
        </is>
      </c>
      <c r="B110" s="11" t="inlineStr">
        <is>
          <t>SEC-005</t>
        </is>
      </c>
      <c r="C110" s="11" t="inlineStr">
        <is>
          <t>Security</t>
        </is>
      </c>
      <c r="D110" s="11" t="inlineStr">
        <is>
          <t>Credential forwarding to secondary service</t>
        </is>
      </c>
      <c r="E110" s="11" t="inlineStr">
        <is>
          <t>Risk</t>
        </is>
      </c>
      <c r="F110" s="9" t="inlineStr">
        <is>
          <t>Primary API bearer token is sent to a separate AI service origin</t>
        </is>
      </c>
      <c r="G110" s="9" t="inlineStr">
        <is>
          <t>ai-Chatbox, knowledge and ai-campaign APIs call NEXT_PUBLIC_AI_BASE_URL with the same access token used for the core backend. Compromise or logging at the AI service exposes admin tokens usable on the core API, and file-export fetches arbitrary absolute URLs returned in API data (downloadFile) without allow-listing. Whether the tokens are meant to be shared is a design decision that cannot be confirmed here.</t>
        </is>
      </c>
      <c r="H110" s="12" t="inlineStr">
        <is>
          <t>const response = await axios.get(`${API_BASE}/admin/users/`, {
  headers: { Authorization: `Bearer ${getAccessToken()}` } ...</t>
        </is>
      </c>
      <c r="I110" s="11" t="inlineStr">
        <is>
          <t>Low</t>
        </is>
      </c>
      <c r="J110" s="11" t="inlineStr">
        <is>
          <t>Low</t>
        </is>
      </c>
      <c r="K110" s="11" t="inlineStr">
        <is>
          <t>Low</t>
        </is>
      </c>
      <c r="L110" s="11" t="inlineStr">
        <is>
          <t>M</t>
        </is>
      </c>
      <c r="M110" s="11" t="inlineStr">
        <is>
          <t>No</t>
        </is>
      </c>
      <c r="N110" s="11" t="inlineStr">
        <is>
          <t>AI Chatbox</t>
        </is>
      </c>
      <c r="O110" s="11" t="inlineStr">
        <is>
          <t>src/services/ai-Chatbox.api.ts</t>
        </is>
      </c>
      <c r="P110" s="11" t="inlineStr">
        <is>
          <t>22-31</t>
        </is>
      </c>
      <c r="Q110" s="9" t="inlineStr">
        <is>
          <t>src/services/knowledge.api.ts:29,53,81,105; src/services/ai-campaign.api.ts:29,56,94,136,166; src/lib/file-export.ts:59-76</t>
        </is>
      </c>
      <c r="R110" s="11" t="n">
        <v>12</v>
      </c>
      <c r="S110" s="9" t="inlineStr">
        <is>
          <t>Blast radius of the AI service extends to the whole admin account; audience/scope of tokens is not constrained.</t>
        </is>
      </c>
      <c r="T110" s="9" t="inlineStr">
        <is>
          <t>Use audience-scoped tokens or a token-exchange for the AI service; allow-list download hosts; route AI calls through the shared axios client (BUG-001).</t>
        </is>
      </c>
      <c r="U110" s="9" t="inlineStr">
        <is>
          <t>Inspect Network requests to the AI base URL and compare Authorization header to core API requests.</t>
        </is>
      </c>
      <c r="V110" s="9" t="inlineStr">
        <is>
          <t>CWE-522; OWASP API Top 10 API2:2023</t>
        </is>
      </c>
      <c r="W110" s="11" t="inlineStr">
        <is>
          <t>BUG-001</t>
        </is>
      </c>
      <c r="X110" s="11" t="inlineStr">
        <is>
          <t>Open</t>
        </is>
      </c>
    </row>
    <row r="111">
      <c r="A111" s="11" t="inlineStr">
        <is>
          <t>BrightSideCarwash-AdminDashboard-frontend</t>
        </is>
      </c>
      <c r="B111" s="11" t="inlineStr">
        <is>
          <t>SEC-006</t>
        </is>
      </c>
      <c r="C111" s="11" t="inlineStr">
        <is>
          <t>Security</t>
        </is>
      </c>
      <c r="D111" s="11" t="inlineStr">
        <is>
          <t>Unvalidated URL navigation</t>
        </is>
      </c>
      <c r="E111" s="11" t="inlineStr">
        <is>
          <t>Risk</t>
        </is>
      </c>
      <c r="F111" s="9" t="inlineStr">
        <is>
          <t>Attachment download navigates to API-supplied URL without scheme check</t>
        </is>
      </c>
      <c r="G111" s="9" t="inlineStr">
        <is>
          <t>The attachment download button assigns attachment.url straight to window.location.href. If the value (stored via lead attachments) were ever a javascript: or attacker-controlled URL, it would navigate/execute in the admin session. Real risk depends on backend validation of stored attachment URLs.</t>
        </is>
      </c>
      <c r="H111" s="12" t="inlineStr">
        <is>
          <t>onClick={() =&gt; {
  window.location.href = attachment.url;
}}</t>
        </is>
      </c>
      <c r="I111" s="11" t="inlineStr">
        <is>
          <t>Low</t>
        </is>
      </c>
      <c r="J111" s="11" t="inlineStr">
        <is>
          <t>Low</t>
        </is>
      </c>
      <c r="K111" s="11" t="inlineStr">
        <is>
          <t>Low</t>
        </is>
      </c>
      <c r="L111" s="11" t="inlineStr">
        <is>
          <t>S</t>
        </is>
      </c>
      <c r="M111" s="11" t="inlineStr">
        <is>
          <t>No</t>
        </is>
      </c>
      <c r="N111" s="11" t="inlineStr">
        <is>
          <t>Leads</t>
        </is>
      </c>
      <c r="O111" s="11" t="inlineStr">
        <is>
          <t>src/components/pages/lead-detail/NotesSection/AttachmentsSection.tsx</t>
        </is>
      </c>
      <c r="P111" s="11" t="inlineStr">
        <is>
          <t>206-208</t>
        </is>
      </c>
      <c r="Q111" s="9" t="n"/>
      <c r="R111" s="11" t="n">
        <v>1</v>
      </c>
      <c r="S111" s="9" t="inlineStr">
        <is>
          <t>Possible script execution or open redirect if stored URL is untrusted.</t>
        </is>
      </c>
      <c r="T111" s="9" t="inlineStr">
        <is>
          <t>Validate that the URL is http(s) on an allow-listed host before navigating, or use the authenticated blob download already implemented in LeadDetailContent.handleDownloadAttachment.</t>
        </is>
      </c>
      <c r="U111" s="9" t="inlineStr">
        <is>
          <t>Store an attachment whose url is 'javascript:alert(1)' via the API and click download.</t>
        </is>
      </c>
      <c r="V111" s="9" t="inlineStr">
        <is>
          <t>CWE-601, CWE-79</t>
        </is>
      </c>
      <c r="W111" s="11" t="n"/>
      <c r="X111" s="11" t="inlineStr">
        <is>
          <t>Open</t>
        </is>
      </c>
    </row>
    <row r="112">
      <c r="A112" s="11" t="inlineStr">
        <is>
          <t>BrightSideCarwash-AdminDashboard-frontend</t>
        </is>
      </c>
      <c r="B112" s="11" t="inlineStr">
        <is>
          <t>VAL-001</t>
        </is>
      </c>
      <c r="C112" s="11" t="inlineStr">
        <is>
          <t>Input Validation</t>
        </is>
      </c>
      <c r="D112" s="11" t="inlineStr">
        <is>
          <t>Unencoded query parameters</t>
        </is>
      </c>
      <c r="E112" s="11" t="inlineStr">
        <is>
          <t>Defect</t>
        </is>
      </c>
      <c r="F112" s="9" t="inlineStr">
        <is>
          <t>Search/status values interpolated into URL query strings without encoding</t>
        </is>
      </c>
      <c r="G112" s="9" t="inlineStr">
        <is>
          <t>The quotes (Queries) list builds its URL by template string; user-typed search text containing &amp;, #, %, or = alters or truncates the query (parameter injection) and ' ' or unicode may be malformed. Other list endpoints use URLSearchParams correctly, so this is inconsistent. Also strips only a leading '+' from phone searches.</t>
        </is>
      </c>
      <c r="H112" s="12" t="inlineStr">
        <is>
          <t>`/admin/quotes?page=${params.page}&amp;limit=${params.limit}&amp;status=${params.status}&amp;search=${search}`</t>
        </is>
      </c>
      <c r="I112" s="11" t="inlineStr">
        <is>
          <t>Low</t>
        </is>
      </c>
      <c r="J112" s="11" t="inlineStr">
        <is>
          <t>Low</t>
        </is>
      </c>
      <c r="K112" s="11" t="inlineStr">
        <is>
          <t>High</t>
        </is>
      </c>
      <c r="L112" s="11" t="inlineStr">
        <is>
          <t>S</t>
        </is>
      </c>
      <c r="M112" s="11" t="inlineStr">
        <is>
          <t>No</t>
        </is>
      </c>
      <c r="N112" s="11" t="inlineStr">
        <is>
          <t>Queries / Quotes</t>
        </is>
      </c>
      <c r="O112" s="11" t="inlineStr">
        <is>
          <t>src/services/queries.api.ts</t>
        </is>
      </c>
      <c r="P112" s="11" t="inlineStr">
        <is>
          <t>28-32</t>
        </is>
      </c>
      <c r="Q112" s="9" t="inlineStr">
        <is>
          <t>src/hooks/useGroupsData.ts:187; src/services/leads.api.ts:599 (format/groupId interpolated); src/services/activity-log.api.ts:20; src/services/notification.api.ts:25</t>
        </is>
      </c>
      <c r="R112" s="11" t="n">
        <v>5</v>
      </c>
      <c r="S112" s="9" t="inlineStr">
        <is>
          <t>Searching for 'A&amp;B' or 'a#b' returns wrong/no results, and users can inject additional filters (e.g. status) into their own request; low security impact since the API must validate anyway.</t>
        </is>
      </c>
      <c r="T112" s="9" t="inlineStr">
        <is>
          <t>Build all queries with URLSearchParams or axios params: { page, limit, status, search }.</t>
        </is>
      </c>
      <c r="U112" s="9" t="inlineStr">
        <is>
          <t>On /marketing/queries type 'a&amp;status=won' into search and observe the request URL/response.</t>
        </is>
      </c>
      <c r="V112" s="9" t="inlineStr">
        <is>
          <t>CWE-20, CWE-88</t>
        </is>
      </c>
      <c r="W112" s="11" t="n"/>
      <c r="X112" s="11" t="inlineStr">
        <is>
          <t>Open</t>
        </is>
      </c>
    </row>
    <row r="113">
      <c r="A113" s="11" t="inlineStr">
        <is>
          <t>BrightSideCarwash-AdminDashboard-frontend</t>
        </is>
      </c>
      <c r="B113" s="11" t="inlineStr">
        <is>
          <t>VAL-002</t>
        </is>
      </c>
      <c r="C113" s="11" t="inlineStr">
        <is>
          <t>Input Validation</t>
        </is>
      </c>
      <c r="D113" s="11" t="inlineStr">
        <is>
          <t>Client password policy unused</t>
        </is>
      </c>
      <c r="E113" s="11" t="inlineStr">
        <is>
          <t>Defect</t>
        </is>
      </c>
      <c r="F113" s="9" t="inlineStr">
        <is>
          <t>PASSWORD_RULES defined but never applied; only length &gt;= 8 is enforced</t>
        </is>
      </c>
      <c r="G113" s="9" t="inlineStr">
        <is>
          <t>auth.config.ts declares uppercase/lowercase/number/special rules but grep shows no consumer. SecuritySettings only checks length &gt;= 8, and the set-password/reset forms rely on the backend. Users get no feedback until a server error, and weaker passwords may be accepted if the backend policy is looser.</t>
        </is>
      </c>
      <c r="H113" s="12" t="inlineStr">
        <is>
          <t>export const PASSWORD_RULES = { minLength: 8, requireUppercase: true, ... requireSpecial: true }
...
} else if (form.new_password.length &lt; 8) {</t>
        </is>
      </c>
      <c r="I113" s="11" t="inlineStr">
        <is>
          <t>Low</t>
        </is>
      </c>
      <c r="J113" s="11" t="inlineStr">
        <is>
          <t>Low</t>
        </is>
      </c>
      <c r="K113" s="11" t="inlineStr">
        <is>
          <t>Medium</t>
        </is>
      </c>
      <c r="L113" s="11" t="inlineStr">
        <is>
          <t>S</t>
        </is>
      </c>
      <c r="M113" s="11" t="inlineStr">
        <is>
          <t>No</t>
        </is>
      </c>
      <c r="N113" s="11" t="inlineStr">
        <is>
          <t>Auth &amp; Session</t>
        </is>
      </c>
      <c r="O113" s="11" t="inlineStr">
        <is>
          <t>src/components/pages/settings/SecuritySettings.tsx</t>
        </is>
      </c>
      <c r="P113" s="11" t="inlineStr">
        <is>
          <t>50-54</t>
        </is>
      </c>
      <c r="Q113" s="9" t="inlineStr">
        <is>
          <t>src/configs/auth.config.ts:13-19; src/components/pages/auth-pages/set-password/SetPasswordForm.tsx; reset-password/ResetPasswordForm.tsx</t>
        </is>
      </c>
      <c r="R113" s="11" t="n">
        <v>4</v>
      </c>
      <c r="S113" s="9" t="inlineStr">
        <is>
          <t>Weak passwords for admin users if server policy is not enforced; inconsistent UX.</t>
        </is>
      </c>
      <c r="T113" s="9" t="inlineStr">
        <is>
          <t>Implement one validatePassword() using PASSWORD_RULES and reuse it in set/reset/change forms; always enforce on the server.</t>
        </is>
      </c>
      <c r="U113" s="9" t="inlineStr">
        <is>
          <t>Change password to 'aaaaaaaa' in Settings &gt; Security and observe client validation passes.</t>
        </is>
      </c>
      <c r="V113" s="9" t="inlineStr">
        <is>
          <t>CWE-521; OWASP ASVS 2.1</t>
        </is>
      </c>
      <c r="W113" s="11" t="n"/>
      <c r="X113" s="11" t="inlineStr">
        <is>
          <t>Open</t>
        </is>
      </c>
    </row>
    <row r="114">
      <c r="A114" s="11" t="inlineStr">
        <is>
          <t>BrightSideCarwash-backend</t>
        </is>
      </c>
      <c r="B114" s="11" t="inlineStr">
        <is>
          <t>API-001</t>
        </is>
      </c>
      <c r="C114" s="11" t="inlineStr">
        <is>
          <t>API Design</t>
        </is>
      </c>
      <c r="D114" s="11" t="inlineStr">
        <is>
          <t>HTTP Semantics / Error Contract</t>
        </is>
      </c>
      <c r="E114" s="11" t="inlineStr">
        <is>
          <t>Tech Debt</t>
        </is>
      </c>
      <c r="F114" s="9" t="inlineStr">
        <is>
          <t>Inconsistent status codes and error envelopes (401 for validation, 200 for failures)</t>
        </is>
      </c>
      <c r="G114" s="9" t="inlineStr">
        <is>
          <t>Controllers throw HttpStatus.UNAUTHORIZED for missing fields, LocalAuthGuard answers HTTP 200 for a missing email/password, and many handlers catch everything and return `{success:false}` with 200 (me, verify-email, 2FA, reset-password). Two backends also use different envelopes and unrelated versioning (/api vs /api/v1).</t>
        </is>
      </c>
      <c r="H114" s="12" t="inlineStr">
        <is>
          <t>HttpStatus.OK,</t>
        </is>
      </c>
      <c r="I114" s="11" t="inlineStr">
        <is>
          <t>Low</t>
        </is>
      </c>
      <c r="J114" s="11" t="inlineStr">
        <is>
          <t>Low</t>
        </is>
      </c>
      <c r="K114" s="11" t="inlineStr">
        <is>
          <t>High</t>
        </is>
      </c>
      <c r="L114" s="11" t="inlineStr">
        <is>
          <t>L</t>
        </is>
      </c>
      <c r="M114" s="11" t="inlineStr">
        <is>
          <t>No</t>
        </is>
      </c>
      <c r="N114" s="11" t="inlineStr">
        <is>
          <t>nest-app: Auth &amp; RBAC</t>
        </is>
      </c>
      <c r="O114" s="11" t="inlineStr">
        <is>
          <t>apps/nest-app/src/modules/auth/guards/local-auth.guard.ts</t>
        </is>
      </c>
      <c r="P114" s="11" t="inlineStr">
        <is>
          <t>27</t>
        </is>
      </c>
      <c r="Q114" s="9" t="inlineStr">
        <is>
          <t>apps/nest-app/src/modules/auth/auth.controller.ts:505
apps/nest-app/src/modules/auth/auth.controller.ts:77</t>
        </is>
      </c>
      <c r="R114" s="11" t="n">
        <v>20</v>
      </c>
      <c r="S114" s="9" t="inlineStr">
        <is>
          <t>Clients and monitoring cannot rely on status codes; failed logins/errors look like successes in access logs and APM.</t>
        </is>
      </c>
      <c r="T114" s="9" t="inlineStr">
        <is>
          <t>Use BadRequest/Unauthorized/Forbidden consistently, remove catch-all envelopes in favour of the existing exception filter, publish an error schema.</t>
        </is>
      </c>
      <c r="U114" s="9" t="inlineStr">
        <is>
          <t>POST /auth/login with an empty body and observe HTTP 200.</t>
        </is>
      </c>
      <c r="V114" s="9" t="inlineStr">
        <is>
          <t>RFC 9110 status semantics</t>
        </is>
      </c>
      <c r="W114" s="11" t="n"/>
      <c r="X114" s="11" t="inlineStr">
        <is>
          <t>Open</t>
        </is>
      </c>
    </row>
    <row r="115">
      <c r="A115" s="11" t="inlineStr">
        <is>
          <t>BrightSideCarwash-backend</t>
        </is>
      </c>
      <c r="B115" s="11" t="inlineStr">
        <is>
          <t>API-002</t>
        </is>
      </c>
      <c r="C115" s="11" t="inlineStr">
        <is>
          <t>API Design</t>
        </is>
      </c>
      <c r="D115" s="11" t="inlineStr">
        <is>
          <t>Leaking Internal Models</t>
        </is>
      </c>
      <c r="E115" s="11" t="inlineStr">
        <is>
          <t>Improvement</t>
        </is>
      </c>
      <c r="F115" s="9" t="inlineStr">
        <is>
          <t>Checkout response returns raw Square booking/payment objects and has contract typos</t>
        </is>
      </c>
      <c r="G115" s="9" t="inlineStr">
        <is>
          <t>POST /appointments/checkout returns the complete Square booking and payment objects (location/customer ids, card details, receipt URLs), and GET /appointments/services returns the misspelled field `lenth`. Clients couple to vendor payloads.</t>
        </is>
      </c>
      <c r="H115" s="12" t="inlineStr">
        <is>
          <t>payment: paymentResponse.payment,</t>
        </is>
      </c>
      <c r="I115" s="11" t="inlineStr">
        <is>
          <t>Low</t>
        </is>
      </c>
      <c r="J115" s="11" t="inlineStr">
        <is>
          <t>Low</t>
        </is>
      </c>
      <c r="K115" s="11" t="inlineStr">
        <is>
          <t>High</t>
        </is>
      </c>
      <c r="L115" s="11" t="inlineStr">
        <is>
          <t>S</t>
        </is>
      </c>
      <c r="M115" s="11" t="inlineStr">
        <is>
          <t>No</t>
        </is>
      </c>
      <c r="N115" s="11" t="inlineStr">
        <is>
          <t>nest-app: Booking &amp; Payments (Square)</t>
        </is>
      </c>
      <c r="O115" s="11" t="inlineStr">
        <is>
          <t>apps/nest-app/src/modules/application/booking/squareup-booking.service.ts</t>
        </is>
      </c>
      <c r="P115" s="11" t="inlineStr">
        <is>
          <t>831</t>
        </is>
      </c>
      <c r="Q115" s="9" t="inlineStr">
        <is>
          <t>apps/nest-app/src/modules/application/booking/square-booking.controller.ts:76</t>
        </is>
      </c>
      <c r="R115" s="11" t="n">
        <v>2</v>
      </c>
      <c r="S115" s="9" t="inlineStr">
        <is>
          <t>Unnecessary data exposure and breaking-change risk if Square changes payloads.</t>
        </is>
      </c>
      <c r="T115" s="9" t="inlineStr">
        <is>
          <t>Return a DTO with bookingId, status, receiptUrl, totals only; fix or version the field name.</t>
        </is>
      </c>
      <c r="U115" s="9" t="inlineStr">
        <is>
          <t>Call the sandbox checkout and inspect the JSON.</t>
        </is>
      </c>
      <c r="V115" s="9" t="inlineStr">
        <is>
          <t>OWASP API Top 10 2023 API3</t>
        </is>
      </c>
      <c r="W115" s="11" t="n"/>
      <c r="X115" s="11" t="inlineStr">
        <is>
          <t>Open</t>
        </is>
      </c>
    </row>
    <row r="116">
      <c r="A116" s="11" t="inlineStr">
        <is>
          <t>BrightSideCarwash-backend</t>
        </is>
      </c>
      <c r="B116" s="11" t="inlineStr">
        <is>
          <t>API-003</t>
        </is>
      </c>
      <c r="C116" s="11" t="inlineStr">
        <is>
          <t>API Design</t>
        </is>
      </c>
      <c r="D116" s="11" t="inlineStr">
        <is>
          <t>Rate-limit Configuration</t>
        </is>
      </c>
      <c r="E116" s="11" t="inlineStr">
        <is>
          <t>Risk</t>
        </is>
      </c>
      <c r="F116" s="9" t="inlineStr">
        <is>
          <t>Production throttle of 3 requests per second per user/IP may reject normal SPA traffic</t>
        </is>
      </c>
      <c r="G116" s="9" t="inlineStr">
        <is>
          <t>ThrottlerModule uses limits of 3/1s, 20/10s and 100/min in production (100/500/2000 elsewhere), applied globally including authenticated dashboard calls and tracked per user id or IP behind a shared proxy IP. Admin screens issuing several parallel requests can receive 429s, and the store is in-process memory. Low confidence: depends on frontend behaviour and proxy config.</t>
        </is>
      </c>
      <c r="H116" s="12" t="inlineStr">
        <is>
          <t>limit: appConfig().app.environment !== 'production' ? 100 : 3,</t>
        </is>
      </c>
      <c r="I116" s="11" t="inlineStr">
        <is>
          <t>Low</t>
        </is>
      </c>
      <c r="J116" s="11" t="inlineStr">
        <is>
          <t>Low</t>
        </is>
      </c>
      <c r="K116" s="11" t="inlineStr">
        <is>
          <t>Low</t>
        </is>
      </c>
      <c r="L116" s="11" t="inlineStr">
        <is>
          <t>S</t>
        </is>
      </c>
      <c r="M116" s="11" t="inlineStr">
        <is>
          <t>No</t>
        </is>
      </c>
      <c r="N116" s="11" t="inlineStr">
        <is>
          <t>nest-app: Platform (config, storage, mail, notifications, logging, Prisma)</t>
        </is>
      </c>
      <c r="O116" s="11" t="inlineStr">
        <is>
          <t>apps/nest-app/src/app.module.ts</t>
        </is>
      </c>
      <c r="P116" s="11" t="inlineStr">
        <is>
          <t>100</t>
        </is>
      </c>
      <c r="Q116" s="9" t="inlineStr">
        <is>
          <t>apps/nest-app/src/common/guard/throttler-behind-proxy.guard.ts:11</t>
        </is>
      </c>
      <c r="R116" s="11" t="n">
        <v>2</v>
      </c>
      <c r="S116" s="9" t="inlineStr">
        <is>
          <t>Possible 429s for staff in production; inconsistent behaviour between environments.</t>
        </is>
      </c>
      <c r="T116" s="9" t="inlineStr">
        <is>
          <t>Tune per-route limits (strict on auth/OTP, relaxed on read endpoints), use Redis-backed throttler storage, and verify the real client IP with the proxy.</t>
        </is>
      </c>
      <c r="U116" s="9" t="inlineStr">
        <is>
          <t>Open the admin dashboard in production-like config and watch for HTTP 429.</t>
        </is>
      </c>
      <c r="V116" s="9" t="inlineStr">
        <is>
          <t>OWASP API Top 10 2023 API4</t>
        </is>
      </c>
      <c r="W116" s="11" t="n"/>
      <c r="X116" s="11" t="inlineStr">
        <is>
          <t>Open</t>
        </is>
      </c>
    </row>
    <row r="117">
      <c r="A117" s="11" t="inlineStr">
        <is>
          <t>BrightSideCarwash-backend</t>
        </is>
      </c>
      <c r="B117" s="11" t="inlineStr">
        <is>
          <t>AUTH-009</t>
        </is>
      </c>
      <c r="C117" s="11" t="inlineStr">
        <is>
          <t>Authentication &amp; Authorization</t>
        </is>
      </c>
      <c r="D117" s="11" t="inlineStr">
        <is>
          <t>User Enumeration</t>
        </is>
      </c>
      <c r="E117" s="11" t="inlineStr">
        <is>
          <t>Vulnerability</t>
        </is>
      </c>
      <c r="F117" s="9" t="inlineStr">
        <is>
          <t>Login and forgot-password responses reveal whether an email exists</t>
        </is>
      </c>
      <c r="G117" s="9" t="inlineStr">
        <is>
          <t>validateUser() throws 'Email not found' for unknown accounts but 'Email or password is incorrect' for wrong passwords, and sendForgotPasswordOtp / verify / reset all return 'Email not found'. Attackers can enumerate staff accounts before targeted attacks.</t>
        </is>
      </c>
      <c r="H117" s="12" t="inlineStr">
        <is>
          <t>throw new UnauthorizedException('Email not found');</t>
        </is>
      </c>
      <c r="I117" s="11" t="inlineStr">
        <is>
          <t>Low</t>
        </is>
      </c>
      <c r="J117" s="11" t="inlineStr">
        <is>
          <t>Low</t>
        </is>
      </c>
      <c r="K117" s="11" t="inlineStr">
        <is>
          <t>High</t>
        </is>
      </c>
      <c r="L117" s="11" t="inlineStr">
        <is>
          <t>S</t>
        </is>
      </c>
      <c r="M117" s="11" t="inlineStr">
        <is>
          <t>No</t>
        </is>
      </c>
      <c r="N117" s="11" t="inlineStr">
        <is>
          <t>nest-app: Auth &amp; RBAC</t>
        </is>
      </c>
      <c r="O117" s="11" t="inlineStr">
        <is>
          <t>apps/nest-app/src/modules/auth/auth.service.ts</t>
        </is>
      </c>
      <c r="P117" s="11" t="inlineStr">
        <is>
          <t>389</t>
        </is>
      </c>
      <c r="Q117" s="9" t="inlineStr">
        <is>
          <t>apps/nest-app/src/modules/auth/auth.service.ts:904</t>
        </is>
      </c>
      <c r="R117" s="11" t="n">
        <v>4</v>
      </c>
      <c r="S117" s="9" t="inlineStr">
        <is>
          <t>Facilitates credential stuffing and phishing of staff.</t>
        </is>
      </c>
      <c r="T117" s="9" t="inlineStr">
        <is>
          <t>Return a generic message and identical status for both cases; for OTP send always answer "if the account exists, a code was sent".</t>
        </is>
      </c>
      <c r="U117" s="9" t="inlineStr">
        <is>
          <t>POST /auth/login with an unknown vs. known email and a wrong password; compare messages.</t>
        </is>
      </c>
      <c r="V117" s="9" t="inlineStr">
        <is>
          <t>CWE-204; OWASP ASVS 2.2</t>
        </is>
      </c>
      <c r="W117" s="11" t="n"/>
      <c r="X117" s="11" t="inlineStr">
        <is>
          <t>Open</t>
        </is>
      </c>
    </row>
    <row r="118">
      <c r="A118" s="11" t="inlineStr">
        <is>
          <t>BrightSideCarwash-backend</t>
        </is>
      </c>
      <c r="B118" s="11" t="inlineStr">
        <is>
          <t>BUG-008</t>
        </is>
      </c>
      <c r="C118" s="11" t="inlineStr">
        <is>
          <t>Bug / Correctness</t>
        </is>
      </c>
      <c r="D118" s="11" t="inlineStr">
        <is>
          <t>Behaviour vs. Documentation</t>
        </is>
      </c>
      <c r="E118" s="11" t="inlineStr">
        <is>
          <t>Defect</t>
        </is>
      </c>
      <c r="F118" s="9" t="inlineStr">
        <is>
          <t>Lead import documented as upsert but silently skips existing emails</t>
        </is>
      </c>
      <c r="G118" s="9" t="inlineStr">
        <is>
          <t>The controller describes 'Rows are automatically upserted based on their email address', but importLeads() uses createMany({skipDuplicates:true}); existing leads are never updated and skipped rows are not reported (only successfullyProcessed vs totalRowsFound). The 10,000 row limit is checked after the whole workbook has been parsed in memory.</t>
        </is>
      </c>
      <c r="H118" s="12" t="inlineStr">
        <is>
          <t>const result = await this.prisma.lead.createMany({
  data: validatedLeadsToCreate,
  skipDuplicates: true,
});</t>
        </is>
      </c>
      <c r="I118" s="11" t="inlineStr">
        <is>
          <t>Low</t>
        </is>
      </c>
      <c r="J118" s="11" t="inlineStr">
        <is>
          <t>Low</t>
        </is>
      </c>
      <c r="K118" s="11" t="inlineStr">
        <is>
          <t>High</t>
        </is>
      </c>
      <c r="L118" s="11" t="inlineStr">
        <is>
          <t>S</t>
        </is>
      </c>
      <c r="M118" s="11" t="inlineStr">
        <is>
          <t>No</t>
        </is>
      </c>
      <c r="N118" s="11" t="inlineStr">
        <is>
          <t>nest-app: Admin CRM (leads, campaigns, email, team, roles, reports)</t>
        </is>
      </c>
      <c r="O118" s="11" t="inlineStr">
        <is>
          <t>apps/nest-app/src/modules/admin/lead/lead.service.ts</t>
        </is>
      </c>
      <c r="P118" s="11" t="inlineStr">
        <is>
          <t>1522-1525</t>
        </is>
      </c>
      <c r="Q118" s="9" t="inlineStr">
        <is>
          <t>apps/nest-app/src/modules/admin/lead/lead.controller.ts:138
apps/nest-app/src/modules/admin/lead/lead.service.ts:1412</t>
        </is>
      </c>
      <c r="R118" s="11" t="n">
        <v>3</v>
      </c>
      <c r="S118" s="9" t="inlineStr">
        <is>
          <t>Users believe updated spreadsheets refreshed CRM data; a crafted xlsx can consume memory before the row limit applies.</t>
        </is>
      </c>
      <c r="T118" s="9" t="inlineStr">
        <is>
          <t>Either implement upsert or fix the docs, return skipped rows with reasons, and enforce limits while streaming (exceljs streaming reader).</t>
        </is>
      </c>
      <c r="U118" s="9" t="inlineStr">
        <is>
          <t>Import a sheet twice with a changed phone number; the second run leaves the phone unchanged.</t>
        </is>
      </c>
      <c r="V118" s="9" t="inlineStr">
        <is>
          <t>CWE-1287</t>
        </is>
      </c>
      <c r="W118" s="11" t="n"/>
      <c r="X118" s="11" t="inlineStr">
        <is>
          <t>Open</t>
        </is>
      </c>
    </row>
    <row r="119">
      <c r="A119" s="11" t="inlineStr">
        <is>
          <t>BrightSideCarwash-backend</t>
        </is>
      </c>
      <c r="B119" s="11" t="inlineStr">
        <is>
          <t>CQ-001</t>
        </is>
      </c>
      <c r="C119" s="11" t="inlineStr">
        <is>
          <t>Code Quality</t>
        </is>
      </c>
      <c r="D119" s="11" t="inlineStr">
        <is>
          <t>Type-safety Holes</t>
        </is>
      </c>
      <c r="E119" s="11" t="inlineStr">
        <is>
          <t>Tech Debt</t>
        </is>
      </c>
      <c r="F119" s="9" t="inlineStr">
        <is>
          <t>TypeScript strict mode is disabled and any is used widely</t>
        </is>
      </c>
      <c r="G119" s="9" t="inlineStr">
        <is>
          <t>tsconfig.json sets strictNullChecks=false and noImplicitAny=false, ESLint turns off no-explicit-any, and many handlers use `any` payloads (webhook payload: any, decoded: any). Null-dereference bugs (e.g. oldImage.avatar) are not caught at compile time.</t>
        </is>
      </c>
      <c r="H119" s="12" t="inlineStr">
        <is>
          <t>"strictNullChecks": false,
"noImplicitAny": false,</t>
        </is>
      </c>
      <c r="I119" s="11" t="inlineStr">
        <is>
          <t>Low</t>
        </is>
      </c>
      <c r="J119" s="11" t="inlineStr">
        <is>
          <t>Low</t>
        </is>
      </c>
      <c r="K119" s="11" t="inlineStr">
        <is>
          <t>High</t>
        </is>
      </c>
      <c r="L119" s="11" t="inlineStr">
        <is>
          <t>XL</t>
        </is>
      </c>
      <c r="M119" s="11" t="inlineStr">
        <is>
          <t>No</t>
        </is>
      </c>
      <c r="N119" s="11" t="inlineStr">
        <is>
          <t>nest-app: Platform (config, storage, mail, notifications, logging, Prisma)</t>
        </is>
      </c>
      <c r="O119" s="11" t="inlineStr">
        <is>
          <t>apps/nest-app/tsconfig.json</t>
        </is>
      </c>
      <c r="P119" s="11" t="inlineStr">
        <is>
          <t>16-17</t>
        </is>
      </c>
      <c r="Q119" s="9" t="inlineStr">
        <is>
          <t>apps/nest-app/.eslintrc.js:23
apps/nest-app/src/modules/admin/campaign/controllers/webhook.controller.ts:12</t>
        </is>
      </c>
      <c r="R119" s="11" t="n">
        <v>3</v>
      </c>
      <c r="S119" s="9" t="inlineStr">
        <is>
          <t>Runtime TypeErrors and weaker refactoring safety.</t>
        </is>
      </c>
      <c r="T119" s="9" t="inlineStr">
        <is>
          <t>Enable strict flags incrementally (per-module tsconfig), re-enable no-explicit-any as warn, type DTOs for webhooks.</t>
        </is>
      </c>
      <c r="U119" s="9" t="inlineStr">
        <is>
          <t>Set strictNullChecks true and run `tsc --noEmit` to count errors.</t>
        </is>
      </c>
      <c r="V119" s="9" t="inlineStr">
        <is>
          <t>TypeScript strict docs</t>
        </is>
      </c>
      <c r="W119" s="11" t="n"/>
      <c r="X119" s="11" t="inlineStr">
        <is>
          <t>Open</t>
        </is>
      </c>
    </row>
    <row r="120">
      <c r="A120" s="11" t="inlineStr">
        <is>
          <t>BrightSideCarwash-backend</t>
        </is>
      </c>
      <c r="B120" s="11" t="inlineStr">
        <is>
          <t>DB-001</t>
        </is>
      </c>
      <c r="C120" s="11" t="inlineStr">
        <is>
          <t>Database &amp; Data Integrity</t>
        </is>
      </c>
      <c r="D120" s="11" t="inlineStr">
        <is>
          <t>Missing Transaction</t>
        </is>
      </c>
      <c r="E120" s="11" t="inlineStr">
        <is>
          <t>Risk</t>
        </is>
      </c>
      <c r="F120" s="9" t="inlineStr">
        <is>
          <t>Multi-step writes are not atomic (super user bootstrap, session rotation, seed)</t>
        </is>
      </c>
      <c r="G120" s="9" t="inlineStr">
        <is>
          <t>ensureSuperUser() deletes all role permissions for the Super User role and re-creates them as separate statements on every boot, leaving a window with no permissions; refreshToken() deletes the old session before creating the new one; login() deletes then creates sessions; prisma/seed.ts deletes Admin/Manager role permissions and re-inserts them and prunes permissions without a transaction.</t>
        </is>
      </c>
      <c r="H120" s="12" t="inlineStr">
        <is>
          <t>await this.prisma.rolePermission.deleteMany({
  where: { role_id: superUserRole.id },
});</t>
        </is>
      </c>
      <c r="I120" s="11" t="inlineStr">
        <is>
          <t>Low</t>
        </is>
      </c>
      <c r="J120" s="11" t="inlineStr">
        <is>
          <t>Low</t>
        </is>
      </c>
      <c r="K120" s="11" t="inlineStr">
        <is>
          <t>High</t>
        </is>
      </c>
      <c r="L120" s="11" t="inlineStr">
        <is>
          <t>M</t>
        </is>
      </c>
      <c r="M120" s="11" t="inlineStr">
        <is>
          <t>No</t>
        </is>
      </c>
      <c r="N120" s="11" t="inlineStr">
        <is>
          <t>nest-app: Auth &amp; RBAC</t>
        </is>
      </c>
      <c r="O120" s="11" t="inlineStr">
        <is>
          <t>apps/nest-app/src/modules/auth/auth.service.ts</t>
        </is>
      </c>
      <c r="P120" s="11" t="inlineStr">
        <is>
          <t>84-86</t>
        </is>
      </c>
      <c r="Q120" s="9" t="inlineStr">
        <is>
          <t>apps/nest-app/src/modules/auth/auth.service.ts:476
apps/nest-app/prisma/seed.ts:235</t>
        </is>
      </c>
      <c r="R120" s="11" t="n">
        <v>3</v>
      </c>
      <c r="S120" s="9" t="inlineStr">
        <is>
          <t>Transient 403s or lost sessions on failures/crashes mid-way.</t>
        </is>
      </c>
      <c r="T120" s="9" t="inlineStr">
        <is>
          <t>Wrap each sequence in prisma.$transaction; run the bootstrap as a migration/one-off command instead of onModuleInit.</t>
        </is>
      </c>
      <c r="U120" s="9" t="inlineStr">
        <is>
          <t>Kill the process during boot after the deleteMany and inspect role_permissions.</t>
        </is>
      </c>
      <c r="V120" s="9" t="inlineStr">
        <is>
          <t>CWE-662</t>
        </is>
      </c>
      <c r="W120" s="11" t="n"/>
      <c r="X120" s="11" t="inlineStr">
        <is>
          <t>Open</t>
        </is>
      </c>
    </row>
    <row r="121">
      <c r="A121" s="11" t="inlineStr">
        <is>
          <t>BrightSideCarwash-backend</t>
        </is>
      </c>
      <c r="B121" s="11" t="inlineStr">
        <is>
          <t>DB-002</t>
        </is>
      </c>
      <c r="C121" s="11" t="inlineStr">
        <is>
          <t>Database &amp; Data Integrity</t>
        </is>
      </c>
      <c r="D121" s="11" t="inlineStr">
        <is>
          <t>Per-event Aggregate Queries</t>
        </is>
      </c>
      <c r="E121" s="11" t="inlineStr">
        <is>
          <t>Risk</t>
        </is>
      </c>
      <c r="F121" s="9" t="inlineStr">
        <is>
          <t>Every Brevo webhook event runs updateMany plus up to three count queries</t>
        </is>
      </c>
      <c r="G121" s="9" t="inlineStr">
        <is>
          <t>handleBrevoWebhook() calls evaluateCampaignStatus() after each event, executing count(PENDING), and when zero, two more counts and an update. For a campaign with tens of thousands of recipients and multiple events each, this is O(events) full-table counts on delivery_logs (indexed by campaignId/status but still heavy).</t>
        </is>
      </c>
      <c r="H121" s="12" t="inlineStr">
        <is>
          <t>await this.evaluateCampaignStatus(config.campaignId);</t>
        </is>
      </c>
      <c r="I121" s="11" t="inlineStr">
        <is>
          <t>Low</t>
        </is>
      </c>
      <c r="J121" s="11" t="inlineStr">
        <is>
          <t>Low</t>
        </is>
      </c>
      <c r="K121" s="11" t="inlineStr">
        <is>
          <t>Medium</t>
        </is>
      </c>
      <c r="L121" s="11" t="inlineStr">
        <is>
          <t>M</t>
        </is>
      </c>
      <c r="M121" s="11" t="inlineStr">
        <is>
          <t>No</t>
        </is>
      </c>
      <c r="N121" s="11" t="inlineStr">
        <is>
          <t>nest-app: Admin CRM (leads, campaigns, email, team, roles, reports)</t>
        </is>
      </c>
      <c r="O121" s="11" t="inlineStr">
        <is>
          <t>apps/nest-app/src/modules/admin/campaign/controllers/webhook.controller.ts</t>
        </is>
      </c>
      <c r="P121" s="11" t="inlineStr">
        <is>
          <t>223</t>
        </is>
      </c>
      <c r="Q121" s="9" t="inlineStr">
        <is>
          <t>apps/nest-app/src/modules/admin/campaign/services/campaign-cron.service.ts:17</t>
        </is>
      </c>
      <c r="R121" s="11" t="n">
        <v>2</v>
      </c>
      <c r="S121" s="9" t="inlineStr">
        <is>
          <t>DB load spikes during large campaigns.</t>
        </is>
      </c>
      <c r="T121" s="9" t="inlineStr">
        <is>
          <t>Update status counters incrementally or evaluate completion only in the existing 5 minute cron; queue webhook events.</t>
        </is>
      </c>
      <c r="U121" s="9" t="inlineStr">
        <is>
          <t>Replay 1,000 webhook events for one campaign and count queries in pg_stat_statements.</t>
        </is>
      </c>
      <c r="V121" s="9" t="inlineStr">
        <is>
          <t>Prisma performance docs</t>
        </is>
      </c>
      <c r="W121" s="11" t="inlineStr">
        <is>
          <t>SEC-002</t>
        </is>
      </c>
      <c r="X121" s="11" t="inlineStr">
        <is>
          <t>Open</t>
        </is>
      </c>
    </row>
    <row r="122">
      <c r="A122" s="11" t="inlineStr">
        <is>
          <t>BrightSideCarwash-backend</t>
        </is>
      </c>
      <c r="B122" s="11" t="inlineStr">
        <is>
          <t>DB-003</t>
        </is>
      </c>
      <c r="C122" s="11" t="inlineStr">
        <is>
          <t>Database &amp; Data Integrity</t>
        </is>
      </c>
      <c r="D122" s="11" t="inlineStr">
        <is>
          <t>Missing Indexes (evidence from query patterns)</t>
        </is>
      </c>
      <c r="E122" s="11" t="inlineStr">
        <is>
          <t>Improvement</t>
        </is>
      </c>
      <c r="F122" s="9" t="inlineStr">
        <is>
          <t>Payments and leads are filtered by created_at ranges without a supporting index</t>
        </is>
      </c>
      <c r="G122" s="9" t="inlineStr">
        <is>
          <t>Dashboards and reports filter payments by created_at (this/last month, custom ranges) and leads by created_at/stage; the Payment model indexes only lead_id and status, and Lead has no created_at index. Fine at current volume but will degrade linearly as history grows.</t>
        </is>
      </c>
      <c r="H122" s="12" t="inlineStr">
        <is>
          <t>@@index([status])</t>
        </is>
      </c>
      <c r="I122" s="11" t="inlineStr">
        <is>
          <t>Low</t>
        </is>
      </c>
      <c r="J122" s="11" t="inlineStr">
        <is>
          <t>Low</t>
        </is>
      </c>
      <c r="K122" s="11" t="inlineStr">
        <is>
          <t>Medium</t>
        </is>
      </c>
      <c r="L122" s="11" t="inlineStr">
        <is>
          <t>S</t>
        </is>
      </c>
      <c r="M122" s="11" t="inlineStr">
        <is>
          <t>No</t>
        </is>
      </c>
      <c r="N122" s="11" t="inlineStr">
        <is>
          <t>nest-app: Admin CRM (leads, campaigns, email, team, roles, reports)</t>
        </is>
      </c>
      <c r="O122" s="11" t="inlineStr">
        <is>
          <t>apps/nest-app/prisma/schema.prisma</t>
        </is>
      </c>
      <c r="P122" s="11" t="inlineStr">
        <is>
          <t>391</t>
        </is>
      </c>
      <c r="Q122" s="9" t="inlineStr">
        <is>
          <t>apps/nest-app/src/modules/admin/payment-transaction/payment-transaction.service.ts:40</t>
        </is>
      </c>
      <c r="R122" s="11" t="n">
        <v>2</v>
      </c>
      <c r="S122" s="9" t="inlineStr">
        <is>
          <t>Slower dashboards/exports over time.</t>
        </is>
      </c>
      <c r="T122" s="9" t="inlineStr">
        <is>
          <t>Add `@@index([created_at])` (and composite status+created_at) on Payment and Lead via a migration.</t>
        </is>
      </c>
      <c r="U122" s="9" t="inlineStr">
        <is>
          <t>EXPLAIN ANALYZE the monthly revenue aggregate on a large dataset.</t>
        </is>
      </c>
      <c r="V122" s="9" t="inlineStr">
        <is>
          <t>PostgreSQL indexing</t>
        </is>
      </c>
      <c r="W122" s="11" t="n"/>
      <c r="X122" s="11" t="inlineStr">
        <is>
          <t>Open</t>
        </is>
      </c>
    </row>
    <row r="123">
      <c r="A123" s="11" t="inlineStr">
        <is>
          <t>BrightSideCarwash-backend</t>
        </is>
      </c>
      <c r="B123" s="11" t="inlineStr">
        <is>
          <t>DB-004</t>
        </is>
      </c>
      <c r="C123" s="11" t="inlineStr">
        <is>
          <t>Database &amp; Data Integrity</t>
        </is>
      </c>
      <c r="D123" s="11" t="inlineStr">
        <is>
          <t>N+1 Query</t>
        </is>
      </c>
      <c r="E123" s="11" t="inlineStr">
        <is>
          <t>Improvement</t>
        </is>
      </c>
      <c r="F123" s="9" t="inlineStr">
        <is>
          <t>Django KB list runs a COUNT per file and is unpaginated</t>
        </is>
      </c>
      <c r="G123" s="9" t="inlineStr">
        <is>
          <t>KnowledgeFileSerializer.chunk_count uses source='chunks.count', which issues one COUNT query per file, and KnowledgeListView returns all files without pagination.</t>
        </is>
      </c>
      <c r="H123" s="12" t="inlineStr">
        <is>
          <t>chunk_count = serializers.IntegerField(source="chunks.count", read_only=True)</t>
        </is>
      </c>
      <c r="I123" s="11" t="inlineStr">
        <is>
          <t>Low</t>
        </is>
      </c>
      <c r="J123" s="11" t="inlineStr">
        <is>
          <t>Low</t>
        </is>
      </c>
      <c r="K123" s="11" t="inlineStr">
        <is>
          <t>High</t>
        </is>
      </c>
      <c r="L123" s="11" t="inlineStr">
        <is>
          <t>S</t>
        </is>
      </c>
      <c r="M123" s="11" t="inlineStr">
        <is>
          <t>No</t>
        </is>
      </c>
      <c r="N123" s="11" t="inlineStr">
        <is>
          <t>django-app: Knowledge Base</t>
        </is>
      </c>
      <c r="O123" s="11" t="inlineStr">
        <is>
          <t>apps/django-app/apps/knowledgebase/serializers.py</t>
        </is>
      </c>
      <c r="P123" s="11" t="inlineStr">
        <is>
          <t>30</t>
        </is>
      </c>
      <c r="Q123" s="9" t="inlineStr">
        <is>
          <t>apps/django-app/apps/knowledgebase/views.py:62</t>
        </is>
      </c>
      <c r="R123" s="11" t="n">
        <v>2</v>
      </c>
      <c r="S123" s="9" t="inlineStr">
        <is>
          <t>Slow admin list with many documents.</t>
        </is>
      </c>
      <c r="T123" s="9" t="inlineStr">
        <is>
          <t>Annotate `Count("chunks")` in the repository queryset and paginate.</t>
        </is>
      </c>
      <c r="U123" s="9" t="inlineStr">
        <is>
          <t>Enable django.db.backends logging and call the list endpoint with 50 files.</t>
        </is>
      </c>
      <c r="V123" s="9" t="inlineStr">
        <is>
          <t>Django ORM optimisation docs</t>
        </is>
      </c>
      <c r="W123" s="11" t="n"/>
      <c r="X123" s="11" t="inlineStr">
        <is>
          <t>Open</t>
        </is>
      </c>
    </row>
    <row r="124">
      <c r="A124" s="11" t="inlineStr">
        <is>
          <t>BrightSideCarwash-backend</t>
        </is>
      </c>
      <c r="B124" s="11" t="inlineStr">
        <is>
          <t>ERR-004</t>
        </is>
      </c>
      <c r="C124" s="11" t="inlineStr">
        <is>
          <t>Error Handling &amp; Resilience</t>
        </is>
      </c>
      <c r="D124" s="11" t="inlineStr">
        <is>
          <t>Information Leakage in Errors</t>
        </is>
      </c>
      <c r="E124" s="11" t="inlineStr">
        <is>
          <t>Risk</t>
        </is>
      </c>
      <c r="F124" s="9" t="inlineStr">
        <is>
          <t>Internal error text is returned to clients</t>
        </is>
      </c>
      <c r="G124" s="9" t="inlineStr">
        <is>
          <t>Django returns `AI service is currently unavailable: {exc}` and `Failed to process knowledge file: {exc}` (also persisted in processing_error), exposing SDK/vendor error details. The Nest booking handler wraps unknown errors as BadRequest with the raw message and Square error details.</t>
        </is>
      </c>
      <c r="H124" s="12" t="inlineStr">
        <is>
          <t>raise ServiceError(f"AI service is currently unavailable: {exc}", status_code=503) from exc</t>
        </is>
      </c>
      <c r="I124" s="11" t="inlineStr">
        <is>
          <t>Low</t>
        </is>
      </c>
      <c r="J124" s="11" t="inlineStr">
        <is>
          <t>Low</t>
        </is>
      </c>
      <c r="K124" s="11" t="inlineStr">
        <is>
          <t>High</t>
        </is>
      </c>
      <c r="L124" s="11" t="inlineStr">
        <is>
          <t>S</t>
        </is>
      </c>
      <c r="M124" s="11" t="inlineStr">
        <is>
          <t>No</t>
        </is>
      </c>
      <c r="N124" s="11" t="inlineStr">
        <is>
          <t>django-app: Chatbot &amp; Sessions</t>
        </is>
      </c>
      <c r="O124" s="11" t="inlineStr">
        <is>
          <t>apps/django-app/apps/chatbot/services.py</t>
        </is>
      </c>
      <c r="P124" s="11" t="inlineStr">
        <is>
          <t>64</t>
        </is>
      </c>
      <c r="Q124" s="9" t="inlineStr">
        <is>
          <t>apps/django-app/apps/knowledgebase/services.py:75
apps/nest-app/src/modules/application/booking/squareup-booking.service.ts:1064</t>
        </is>
      </c>
      <c r="R124" s="11" t="n">
        <v>3</v>
      </c>
      <c r="S124" s="9" t="inlineStr">
        <is>
          <t>Minor information disclosure (provider names, quota errors, internal paths).</t>
        </is>
      </c>
      <c r="T124" s="9" t="inlineStr">
        <is>
          <t>Log details server-side and return stable generic messages/error codes.</t>
        </is>
      </c>
      <c r="U124" s="9" t="inlineStr">
        <is>
          <t>Set an invalid OPENAI_API_KEY and send a chat message.</t>
        </is>
      </c>
      <c r="V124" s="9" t="inlineStr">
        <is>
          <t>CWE-209</t>
        </is>
      </c>
      <c r="W124" s="11" t="n"/>
      <c r="X124" s="11" t="inlineStr">
        <is>
          <t>Open</t>
        </is>
      </c>
    </row>
    <row r="125">
      <c r="A125" s="11" t="inlineStr">
        <is>
          <t>BrightSideCarwash-backend</t>
        </is>
      </c>
      <c r="B125" s="11" t="inlineStr">
        <is>
          <t>ERR-005</t>
        </is>
      </c>
      <c r="C125" s="11" t="inlineStr">
        <is>
          <t>Error Handling &amp; Resilience</t>
        </is>
      </c>
      <c r="D125" s="11" t="inlineStr">
        <is>
          <t>No Graceful Shutdown</t>
        </is>
      </c>
      <c r="E125" s="11" t="inlineStr">
        <is>
          <t>Risk</t>
        </is>
      </c>
      <c r="F125" s="9" t="inlineStr">
        <is>
          <t>Nest app does not enable shutdown hooks; deploy stops the process abruptly</t>
        </is>
      </c>
      <c r="G125" s="9" t="inlineStr">
        <is>
          <t>main.ts never calls app.enableShutdownHooks() (searched src for enableShutdownHooks: no match), and the deploy script runs `pm2 stop` then `pm2 delete`. In-flight checkouts, BullMQ jobs and Prisma connections are cut off, which is especially risky between the Square charge and the database write.</t>
        </is>
      </c>
      <c r="H125" s="12" t="inlineStr">
        <is>
          <t>await app.listen(appConfig().app.port, '0.0.0.0');</t>
        </is>
      </c>
      <c r="I125" s="11" t="inlineStr">
        <is>
          <t>Low</t>
        </is>
      </c>
      <c r="J125" s="11" t="inlineStr">
        <is>
          <t>Low</t>
        </is>
      </c>
      <c r="K125" s="11" t="inlineStr">
        <is>
          <t>Medium</t>
        </is>
      </c>
      <c r="L125" s="11" t="inlineStr">
        <is>
          <t>S</t>
        </is>
      </c>
      <c r="M125" s="11" t="inlineStr">
        <is>
          <t>No</t>
        </is>
      </c>
      <c r="N125" s="11" t="inlineStr">
        <is>
          <t>nest-app: Platform (config, storage, mail, notifications, logging, Prisma)</t>
        </is>
      </c>
      <c r="O125" s="11" t="inlineStr">
        <is>
          <t>apps/nest-app/src/main.ts</t>
        </is>
      </c>
      <c r="P125" s="11" t="inlineStr">
        <is>
          <t>167</t>
        </is>
      </c>
      <c r="Q125" s="9" t="inlineStr">
        <is>
          <t>.github/workflows/deploy.yml:47</t>
        </is>
      </c>
      <c r="R125" s="11" t="n">
        <v>2</v>
      </c>
      <c r="S125" s="9" t="inlineStr">
        <is>
          <t>Occasional lost jobs or half-completed payments during deploys.</t>
        </is>
      </c>
      <c r="T125" s="9" t="inlineStr">
        <is>
          <t>Call app.enableShutdownHooks(), add pm2 kill_timeout, and use `pm2 reload` for zero-downtime restarts.</t>
        </is>
      </c>
      <c r="U125" s="9" t="inlineStr">
        <is>
          <t>Trigger a deploy while a checkout is running.</t>
        </is>
      </c>
      <c r="V125" s="9" t="inlineStr">
        <is>
          <t>NestJS lifecycle events docs</t>
        </is>
      </c>
      <c r="W125" s="11" t="n"/>
      <c r="X125" s="11" t="inlineStr">
        <is>
          <t>Open</t>
        </is>
      </c>
    </row>
    <row r="126">
      <c r="A126" s="11" t="inlineStr">
        <is>
          <t>BrightSideCarwash-backend</t>
        </is>
      </c>
      <c r="B126" s="11" t="inlineStr">
        <is>
          <t>MAINT-001</t>
        </is>
      </c>
      <c r="C126" s="11" t="inlineStr">
        <is>
          <t>Maintainability &amp; Tech Debt</t>
        </is>
      </c>
      <c r="D126" s="11" t="inlineStr">
        <is>
          <t>Dead Code / Duplication</t>
        </is>
      </c>
      <c r="E126" s="11" t="inlineStr">
        <is>
          <t>Tech Debt</t>
        </is>
      </c>
      <c r="F126" s="9" t="inlineStr">
        <is>
          <t>Large unused, duplicated and commented-out code blocks</t>
        </is>
      </c>
      <c r="G126" s="9" t="inlineStr">
        <is>
          <t>squareup-booking.with-chached-need-fix.service.ts (1,412 lines, not imported anywhere, ~2.7k differing diff lines vs the live service) duplicates the booking service; auth.controller/auth.service carry hundreds of lines of commented legacy register/verify flows (including a design that put the password into a JWT); the soft-delete middleware is dead (Prisma 7 removed $use and it filters `deleted_at = false`); the availability cron only logs (`precacheAvailability` commented, 'TODO: uncomment for production'); the webhook controller keeps two commented versions; the generated Prisma client (39 files, ~57k lines) is committed under src/generated even though CI regenerates it; README documents a Stripe webhook that does not exist.</t>
        </is>
      </c>
      <c r="H126" s="12" t="inlineStr">
        <is>
          <t>export class SquareUpBookingService {</t>
        </is>
      </c>
      <c r="I126" s="11" t="inlineStr">
        <is>
          <t>Low</t>
        </is>
      </c>
      <c r="J126" s="11" t="inlineStr">
        <is>
          <t>Low</t>
        </is>
      </c>
      <c r="K126" s="11" t="inlineStr">
        <is>
          <t>High</t>
        </is>
      </c>
      <c r="L126" s="11" t="inlineStr">
        <is>
          <t>L</t>
        </is>
      </c>
      <c r="M126" s="11" t="inlineStr">
        <is>
          <t>No</t>
        </is>
      </c>
      <c r="N126" s="11" t="inlineStr">
        <is>
          <t>nest-app: Booking &amp; Payments (Square)</t>
        </is>
      </c>
      <c r="O126" s="11" t="inlineStr">
        <is>
          <t>apps/nest-app/src/modules/application/booking/squareup-booking.with-chached-need-fix.service.ts</t>
        </is>
      </c>
      <c r="P126" s="11" t="inlineStr">
        <is>
          <t>27</t>
        </is>
      </c>
      <c r="Q126" s="9" t="inlineStr">
        <is>
          <t>apps/nest-app/src/prisma/middleware/softdelete.middleware.ts:11
apps/nest-app/src/modules/application/booking/availability-cron.service.ts:42
apps/nest-app/src/modules/auth/auth.controller.ts:91
apps/nest-app/README.md:7
apps/nest-app/src/generated/prisma/client.ts:7</t>
        </is>
      </c>
      <c r="R126" s="11" t="n">
        <v>6</v>
      </c>
      <c r="S126" s="9" t="inlineStr">
        <is>
          <t>Confusion about which code is live, security-relevant legacy flows kept around, noisy diffs and larger review surface.</t>
        </is>
      </c>
      <c r="T126" s="9" t="inlineStr">
        <is>
          <t>Delete unreferenced files and commented blocks (git history preserves them), remove committed generated client (add to .gitignore) and regenerate in build, refresh README.</t>
        </is>
      </c>
      <c r="U126" s="9" t="inlineStr">
        <is>
          <t>`grep -rn "with-chached" apps/nest-app/src` returns only the file itself.</t>
        </is>
      </c>
      <c r="V126" s="9" t="inlineStr">
        <is>
          <t>n/a</t>
        </is>
      </c>
      <c r="W126" s="11" t="n"/>
      <c r="X126" s="11" t="inlineStr">
        <is>
          <t>Open</t>
        </is>
      </c>
    </row>
    <row r="127">
      <c r="A127" s="11" t="inlineStr">
        <is>
          <t>BrightSideCarwash-backend</t>
        </is>
      </c>
      <c r="B127" s="11" t="inlineStr">
        <is>
          <t>OBS-002</t>
        </is>
      </c>
      <c r="C127" s="11" t="inlineStr">
        <is>
          <t>Logging &amp; Monitoring</t>
        </is>
      </c>
      <c r="D127" s="11" t="inlineStr">
        <is>
          <t>Logging Hygiene</t>
        </is>
      </c>
      <c r="E127" s="11" t="inlineStr">
        <is>
          <t>Improvement</t>
        </is>
      </c>
      <c r="F127" s="9" t="inlineStr">
        <is>
          <t>Ad-hoc console logging, single never-rotated log file, no correlation ids or alerting</t>
        </is>
      </c>
      <c r="G127" s="9" t="inlineStr">
        <is>
          <t>43 console.log/error/warn calls bypass the pino logger (e.g. CORS origin logging in main.ts, storage adapters, activity-log interceptor). The log file name is computed once at process start so a long-running process appends to a single file with no rotation. There are no request/trace ids, and the only metrics are default Prometheus process metrics plus a demo counter, with no alert rules (prometheus.yml has scrape configs only). Django logs full request paths including query strings.</t>
        </is>
      </c>
      <c r="H127" s="12" t="inlineStr">
        <is>
          <t>const logFile = path.join(
    logDir,
    `${new Date().toISOString().split("T")[0].replace(/[:.]/g, '-')}.log`,
);</t>
        </is>
      </c>
      <c r="I127" s="11" t="inlineStr">
        <is>
          <t>Low</t>
        </is>
      </c>
      <c r="J127" s="11" t="inlineStr">
        <is>
          <t>Low</t>
        </is>
      </c>
      <c r="K127" s="11" t="inlineStr">
        <is>
          <t>High</t>
        </is>
      </c>
      <c r="L127" s="11" t="inlineStr">
        <is>
          <t>M</t>
        </is>
      </c>
      <c r="M127" s="11" t="inlineStr">
        <is>
          <t>No</t>
        </is>
      </c>
      <c r="N127" s="11" t="inlineStr">
        <is>
          <t>nest-app: Platform (config, storage, mail, notifications, logging, Prisma)</t>
        </is>
      </c>
      <c r="O127" s="11" t="inlineStr">
        <is>
          <t>apps/nest-app/src/logger.config.ts</t>
        </is>
      </c>
      <c r="P127" s="11" t="inlineStr">
        <is>
          <t>11-14</t>
        </is>
      </c>
      <c r="Q127" s="9" t="inlineStr">
        <is>
          <t>apps/nest-app/src/main.ts:47
apps/nest-app/src/prometheus/prometheus.controller.ts:13
apps/django-app/apps/common/middleware.py:20</t>
        </is>
      </c>
      <c r="R127" s="11" t="n">
        <v>4</v>
      </c>
      <c r="S127" s="9" t="inlineStr">
        <is>
          <t>Harder incident response; log disk growth; PII/secrets may appear in unstructured logs.</t>
        </is>
      </c>
      <c r="T127" s="9" t="inlineStr">
        <is>
          <t>Use the Nest Logger everywhere, pino-roll or logrotate, add x-request-id propagation, real RED metrics and alert rules; log Django paths without query strings.</t>
        </is>
      </c>
      <c r="U127" s="9" t="inlineStr">
        <is>
          <t>grep -rn "console\." apps/nest-app/src | wc -l</t>
        </is>
      </c>
      <c r="V127" s="9" t="inlineStr">
        <is>
          <t>OWASP Logging Cheat Sheet</t>
        </is>
      </c>
      <c r="W127" s="11" t="n"/>
      <c r="X127" s="11" t="inlineStr">
        <is>
          <t>Open</t>
        </is>
      </c>
    </row>
    <row r="128">
      <c r="A128" s="11" t="inlineStr">
        <is>
          <t>BrightSideCarwash-backend</t>
        </is>
      </c>
      <c r="B128" s="11" t="inlineStr">
        <is>
          <t>PERF-001</t>
        </is>
      </c>
      <c r="C128" s="11" t="inlineStr">
        <is>
          <t>Performance &amp; Scalability</t>
        </is>
      </c>
      <c r="D128" s="11" t="inlineStr">
        <is>
          <t>Wasted External Call</t>
        </is>
      </c>
      <c r="E128" s="11" t="inlineStr">
        <is>
          <t>Improvement</t>
        </is>
      </c>
      <c r="F128" s="9" t="inlineStr">
        <is>
          <t>Question classifier result is computed but never used</t>
        </is>
      </c>
      <c r="G128" s="9" t="inlineStr">
        <is>
          <t>handle_message() calls the classifier (an OpenAI request unless a keyword matches) and stores question_type, but retrieval and prompt building run for every message regardless of the label. Each chat turn therefore pays an extra LLM round trip.</t>
        </is>
      </c>
      <c r="H128" s="12" t="inlineStr">
        <is>
          <t>question_type = self.classifier.classify(message)</t>
        </is>
      </c>
      <c r="I128" s="11" t="inlineStr">
        <is>
          <t>Low</t>
        </is>
      </c>
      <c r="J128" s="11" t="inlineStr">
        <is>
          <t>Low</t>
        </is>
      </c>
      <c r="K128" s="11" t="inlineStr">
        <is>
          <t>High</t>
        </is>
      </c>
      <c r="L128" s="11" t="inlineStr">
        <is>
          <t>S</t>
        </is>
      </c>
      <c r="M128" s="11" t="inlineStr">
        <is>
          <t>No</t>
        </is>
      </c>
      <c r="N128" s="11" t="inlineStr">
        <is>
          <t>django-app: Chatbot &amp; Sessions</t>
        </is>
      </c>
      <c r="O128" s="11" t="inlineStr">
        <is>
          <t>apps/django-app/apps/chatbot/services.py</t>
        </is>
      </c>
      <c r="P128" s="11" t="inlineStr">
        <is>
          <t>45</t>
        </is>
      </c>
      <c r="Q128" s="9" t="inlineStr">
        <is>
          <t>apps/django-app/apps/chatbot/services.py:49</t>
        </is>
      </c>
      <c r="R128" s="11" t="n">
        <v>2</v>
      </c>
      <c r="S128" s="9" t="inlineStr">
        <is>
          <t>Higher latency and OpenAI cost per message.</t>
        </is>
      </c>
      <c r="T128" s="9" t="inlineStr">
        <is>
          <t>Remove the call or use it to skip retrieval for small talk.</t>
        </is>
      </c>
      <c r="U128" s="9" t="inlineStr">
        <is>
          <t>Log OpenAI calls per chat message (currently 2 completions + 1 embedding).</t>
        </is>
      </c>
      <c r="V128" s="9" t="inlineStr">
        <is>
          <t>n/a</t>
        </is>
      </c>
      <c r="W128" s="11" t="n"/>
      <c r="X128" s="11" t="inlineStr">
        <is>
          <t>Open</t>
        </is>
      </c>
    </row>
    <row r="129">
      <c r="A129" s="11" t="inlineStr">
        <is>
          <t>BrightSideCarwash-backend</t>
        </is>
      </c>
      <c r="B129" s="11" t="inlineStr">
        <is>
          <t>PRIV-002</t>
        </is>
      </c>
      <c r="C129" s="11" t="inlineStr">
        <is>
          <t>Privacy &amp; Compliance</t>
        </is>
      </c>
      <c r="D129" s="11" t="inlineStr">
        <is>
          <t>PII in Audit Logs</t>
        </is>
      </c>
      <c r="E129" s="11" t="inlineStr">
        <is>
          <t>Risk</t>
        </is>
      </c>
      <c r="F129" s="9" t="inlineStr">
        <is>
          <t>Activity log interceptor persists raw request bodies</t>
        </is>
      </c>
      <c r="G129" s="9" t="inlineStr">
        <is>
          <t>ActivityLogInterceptor stores `request.body` for every non-GET handler decorated with @LogActivity, and on errors stores `{ error, body }`. Lead/campaign/staff payloads (emails, phones, notes) are duplicated into activity_logs, and any future decorated endpoint carrying secrets (passwords, tokens) would be stored in clear text.</t>
        </is>
      </c>
      <c r="H129" s="12" t="inlineStr">
        <is>
          <t>changes: request.method !== 'GET' ? request.body : null,</t>
        </is>
      </c>
      <c r="I129" s="11" t="inlineStr">
        <is>
          <t>Low</t>
        </is>
      </c>
      <c r="J129" s="11" t="inlineStr">
        <is>
          <t>Low</t>
        </is>
      </c>
      <c r="K129" s="11" t="inlineStr">
        <is>
          <t>High</t>
        </is>
      </c>
      <c r="L129" s="11" t="inlineStr">
        <is>
          <t>S</t>
        </is>
      </c>
      <c r="M129" s="11" t="inlineStr">
        <is>
          <t>No</t>
        </is>
      </c>
      <c r="N129" s="11" t="inlineStr">
        <is>
          <t>nest-app: Platform (config, storage, mail, notifications, logging, Prisma)</t>
        </is>
      </c>
      <c r="O129" s="11" t="inlineStr">
        <is>
          <t>apps/nest-app/src/activity-log/interceptor/activity-log.interceptor.ts</t>
        </is>
      </c>
      <c r="P129" s="11" t="inlineStr">
        <is>
          <t>30</t>
        </is>
      </c>
      <c r="Q129" s="9" t="inlineStr">
        <is>
          <t>apps/nest-app/src/activity-log/interceptor/activity-log.interceptor.ts:41</t>
        </is>
      </c>
      <c r="R129" s="11" t="n">
        <v>2</v>
      </c>
      <c r="S129" s="9" t="inlineStr">
        <is>
          <t>Uncontrolled PII/secret spread into the audit table.</t>
        </is>
      </c>
      <c r="T129" s="9" t="inlineStr">
        <is>
          <t>Whitelist fields per action or record only changed field names; mask password/token/otp keys globally.</t>
        </is>
      </c>
      <c r="U129" s="9" t="inlineStr">
        <is>
          <t>Create a lead via POST /api/admin/lead and inspect activity_logs.changes.</t>
        </is>
      </c>
      <c r="V129" s="9" t="inlineStr">
        <is>
          <t>CWE-532</t>
        </is>
      </c>
      <c r="W129" s="11" t="n"/>
      <c r="X129" s="11" t="inlineStr">
        <is>
          <t>Open</t>
        </is>
      </c>
    </row>
    <row r="130">
      <c r="A130" s="11" t="inlineStr">
        <is>
          <t>BrightSideCarwash-backend</t>
        </is>
      </c>
      <c r="B130" s="11" t="inlineStr">
        <is>
          <t>SEC-008</t>
        </is>
      </c>
      <c r="C130" s="11" t="inlineStr">
        <is>
          <t>Security</t>
        </is>
      </c>
      <c r="D130" s="11" t="inlineStr">
        <is>
          <t>Exposed Diagnostic Endpoints</t>
        </is>
      </c>
      <c r="E130" s="11" t="inlineStr">
        <is>
          <t>Risk</t>
        </is>
      </c>
      <c r="F130" s="9" t="inlineStr">
        <is>
          <t>Unauthenticated metrics and test-stream endpoints are exposed</t>
        </is>
      </c>
      <c r="G130" s="9" t="inlineStr">
        <is>
          <t>GET /api/metrics returns Prometheus process metrics to anyone (prometheus.yml scrapes the same public path), GET /api/test-file-stream returns package.json as a download, and GET /api/test-chunk-stream holds a chunked connection for 5 seconds per request. The root route returns an HTML page linking to /api/docs.</t>
        </is>
      </c>
      <c r="H130" s="12" t="inlineStr">
        <is>
          <t>@Controller('metrics')</t>
        </is>
      </c>
      <c r="I130" s="11" t="inlineStr">
        <is>
          <t>Low</t>
        </is>
      </c>
      <c r="J130" s="11" t="inlineStr">
        <is>
          <t>Low</t>
        </is>
      </c>
      <c r="K130" s="11" t="inlineStr">
        <is>
          <t>High</t>
        </is>
      </c>
      <c r="L130" s="11" t="inlineStr">
        <is>
          <t>S</t>
        </is>
      </c>
      <c r="M130" s="11" t="inlineStr">
        <is>
          <t>No</t>
        </is>
      </c>
      <c r="N130" s="11" t="inlineStr">
        <is>
          <t>nest-app: Public APIs &amp; app shell</t>
        </is>
      </c>
      <c r="O130" s="11" t="inlineStr">
        <is>
          <t>apps/nest-app/src/prometheus/prometheus.controller.ts</t>
        </is>
      </c>
      <c r="P130" s="11" t="inlineStr">
        <is>
          <t>8</t>
        </is>
      </c>
      <c r="Q130" s="9" t="inlineStr">
        <is>
          <t>apps/nest-app/src/app.controller.ts:68
apps/nest-app/src/app.controller.ts:40</t>
        </is>
      </c>
      <c r="R130" s="11" t="n">
        <v>3</v>
      </c>
      <c r="S130" s="9" t="inlineStr">
        <is>
          <t>Information disclosure (runtime metrics, dependency manifest) and a small connection-exhaustion vector.</t>
        </is>
      </c>
      <c r="T130" s="9" t="inlineStr">
        <is>
          <t>Remove test routes; protect /metrics with a bearer token or bind it to an internal interface/allow-listed scraper.</t>
        </is>
      </c>
      <c r="U130" s="9" t="inlineStr">
        <is>
          <t>`curl https://&lt;host&gt;/api/metrics` and `curl https://&lt;host&gt;/api/test-file-stream` without credentials.</t>
        </is>
      </c>
      <c r="V130" s="9" t="inlineStr">
        <is>
          <t>CWE-200; OWASP API Top 10 2023 API9</t>
        </is>
      </c>
      <c r="W130" s="11" t="inlineStr">
        <is>
          <t>SEC-001</t>
        </is>
      </c>
      <c r="X130" s="11" t="inlineStr">
        <is>
          <t>Open</t>
        </is>
      </c>
    </row>
    <row r="131">
      <c r="A131" s="11" t="inlineStr">
        <is>
          <t>BrightSideCarwash-backend</t>
        </is>
      </c>
      <c r="B131" s="11" t="inlineStr">
        <is>
          <t>SEC-010</t>
        </is>
      </c>
      <c r="C131" s="11" t="inlineStr">
        <is>
          <t>Security</t>
        </is>
      </c>
      <c r="D131" s="11" t="inlineStr">
        <is>
          <t>Permissive CORS</t>
        </is>
      </c>
      <c r="E131" s="11" t="inlineStr">
        <is>
          <t>Risk</t>
        </is>
      </c>
      <c r="F131" s="9" t="inlineStr">
        <is>
          <t>Django CORS allows every origin together with credentials</t>
        </is>
      </c>
      <c r="G131" s="9" t="inlineStr">
        <is>
          <t>CORS_ALLOW_ALL_ORIGINS=True and CORS_ALLOW_CREDENTIALS=True make django-cors-headers reflect any Origin with credentials allowed. Today authentication is absent (see AUTH finding) and tokens would be Bearer based, so the immediate risk is low, but the setting becomes dangerous as soon as cookie/session auth or the admin site is used.</t>
        </is>
      </c>
      <c r="H131" s="12" t="inlineStr">
        <is>
          <t>CORS_ALLOW_ALL_ORIGINS = True
CORS_ALLOW_CREDENTIALS = True</t>
        </is>
      </c>
      <c r="I131" s="11" t="inlineStr">
        <is>
          <t>Low</t>
        </is>
      </c>
      <c r="J131" s="11" t="inlineStr">
        <is>
          <t>Low</t>
        </is>
      </c>
      <c r="K131" s="11" t="inlineStr">
        <is>
          <t>High</t>
        </is>
      </c>
      <c r="L131" s="11" t="inlineStr">
        <is>
          <t>S</t>
        </is>
      </c>
      <c r="M131" s="11" t="inlineStr">
        <is>
          <t>No</t>
        </is>
      </c>
      <c r="N131" s="11" t="inlineStr">
        <is>
          <t>django-app: Config &amp; Service Sync</t>
        </is>
      </c>
      <c r="O131" s="11" t="inlineStr">
        <is>
          <t>apps/django-app/config/settings.py</t>
        </is>
      </c>
      <c r="P131" s="11" t="inlineStr">
        <is>
          <t>247-248</t>
        </is>
      </c>
      <c r="Q131" s="9" t="n"/>
      <c r="R131" s="11" t="n">
        <v>1</v>
      </c>
      <c r="S131" s="9" t="inlineStr">
        <is>
          <t>Cross-origin reads of credentialed responses if cookies are ever used.</t>
        </is>
      </c>
      <c r="T131" s="9" t="inlineStr">
        <is>
          <t>Use CORS_ALLOWED_ORIGINS from env (the .env.example already lists CORS_ALLOWED_ORIGINS but settings ignores it).</t>
        </is>
      </c>
      <c r="U131" s="9" t="inlineStr">
        <is>
          <t>`curl -H "Origin: https://evil.example" -I https://&lt;host&gt;/api/v1/sessions/` and check Access-Control-Allow-Origin / -Credentials.</t>
        </is>
      </c>
      <c r="V131" s="9" t="inlineStr">
        <is>
          <t>CWE-942; OWASP API Top 10 2023 API8</t>
        </is>
      </c>
      <c r="W131" s="11" t="n"/>
      <c r="X131" s="11" t="inlineStr">
        <is>
          <t>Open</t>
        </is>
      </c>
    </row>
    <row r="132">
      <c r="A132" s="11" t="inlineStr">
        <is>
          <t>BrightSideCarwash-backend</t>
        </is>
      </c>
      <c r="B132" s="11" t="inlineStr">
        <is>
          <t>SEC-013</t>
        </is>
      </c>
      <c r="C132" s="11" t="inlineStr">
        <is>
          <t>Security</t>
        </is>
      </c>
      <c r="D132" s="11" t="inlineStr">
        <is>
          <t>Insecure Static Serving</t>
        </is>
      </c>
      <c r="E132" s="11" t="inlineStr">
        <is>
          <t>Risk</t>
        </is>
      </c>
      <c r="F132" s="9" t="inlineStr">
        <is>
          <t>Django serves the media directory with django.views.static.serve</t>
        </is>
      </c>
      <c r="G132" s="9" t="inlineStr">
        <is>
          <t>config/urls.py exposes MEDIA_ROOT through django.views.static.serve (the comment says nginx was removed). Django documents this view as not suitable for production. With KB_STORAGE_BACKEND=filesystem (the default) knowledge-base uploads are written under MEDIA_ROOT and therefore become public, bypassing the (already open) download endpoint. Docker compose sets the s3 backend, which limits exposure to local/dev runs.</t>
        </is>
      </c>
      <c r="H132" s="12" t="inlineStr">
        <is>
          <t>re_path(r'^media/(?P&lt;path&gt;.*)$', serve, {'document_root': settings.MEDIA_ROOT}),</t>
        </is>
      </c>
      <c r="I132" s="11" t="inlineStr">
        <is>
          <t>Low</t>
        </is>
      </c>
      <c r="J132" s="11" t="inlineStr">
        <is>
          <t>Low</t>
        </is>
      </c>
      <c r="K132" s="11" t="inlineStr">
        <is>
          <t>Medium</t>
        </is>
      </c>
      <c r="L132" s="11" t="inlineStr">
        <is>
          <t>M</t>
        </is>
      </c>
      <c r="M132" s="11" t="inlineStr">
        <is>
          <t>No</t>
        </is>
      </c>
      <c r="N132" s="11" t="inlineStr">
        <is>
          <t>django-app: Config &amp; Service Sync</t>
        </is>
      </c>
      <c r="O132" s="11" t="inlineStr">
        <is>
          <t>apps/django-app/config/urls.py</t>
        </is>
      </c>
      <c r="P132" s="11" t="inlineStr">
        <is>
          <t>38</t>
        </is>
      </c>
      <c r="Q132" s="9" t="inlineStr">
        <is>
          <t>apps/django-app/config/settings.py:151</t>
        </is>
      </c>
      <c r="R132" s="11" t="n">
        <v>2</v>
      </c>
      <c r="S132" s="9" t="inlineStr">
        <is>
          <t>Unauthenticated access to uploaded files in non-S3 deployments; inefficient serving.</t>
        </is>
      </c>
      <c r="T132" s="9" t="inlineStr">
        <is>
          <t>Serve media from S3/CDN or a reverse proxy with restricted paths; default KB storage to private; ensure KB files are only reachable through an authorised download view.</t>
        </is>
      </c>
      <c r="U132" s="9" t="inlineStr">
        <is>
          <t>Upload a KB file with the filesystem backend and request /media/&lt;prefix&gt;/&lt;name&gt; directly.</t>
        </is>
      </c>
      <c r="V132" s="9" t="inlineStr">
        <is>
          <t>CWE-552</t>
        </is>
      </c>
      <c r="W132" s="11" t="inlineStr">
        <is>
          <t>AUTH-001</t>
        </is>
      </c>
      <c r="X132" s="11" t="inlineStr">
        <is>
          <t>Open</t>
        </is>
      </c>
    </row>
    <row r="133">
      <c r="A133" s="11" t="inlineStr">
        <is>
          <t>BrightSideCarwash-backend</t>
        </is>
      </c>
      <c r="B133" s="11" t="inlineStr">
        <is>
          <t>VAL-002</t>
        </is>
      </c>
      <c r="C133" s="11" t="inlineStr">
        <is>
          <t>Input Validation</t>
        </is>
      </c>
      <c r="D133" s="11" t="inlineStr">
        <is>
          <t>Unbounded Input</t>
        </is>
      </c>
      <c r="E133" s="11" t="inlineStr">
        <is>
          <t>Risk</t>
        </is>
      </c>
      <c r="F133" s="9" t="inlineStr">
        <is>
          <t>Public booking DTOs allow unbounded arrays and free text</t>
        </is>
      </c>
      <c r="G133" s="9" t="inlineStr">
        <is>
          <t>CheckAvailabilityDto, CartSummaryDto, LockTimeSlotDto and ConfirmBookingDto accept arrays of service ids without ArrayMaxSize, availability windows of arbitrary width (startAt/endAt) and free-text fields (customerName, customerNote, vehicle, customerPhone) without MaxLength or format validation. Each id triggers Square catalog/availability calls and the values are copied into Square customers, DB rows and emails.</t>
        </is>
      </c>
      <c r="H133" s="12" t="inlineStr">
        <is>
          <t>serviceVariationIds: string[];</t>
        </is>
      </c>
      <c r="I133" s="11" t="inlineStr">
        <is>
          <t>Low</t>
        </is>
      </c>
      <c r="J133" s="11" t="inlineStr">
        <is>
          <t>Low</t>
        </is>
      </c>
      <c r="K133" s="11" t="inlineStr">
        <is>
          <t>High</t>
        </is>
      </c>
      <c r="L133" s="11" t="inlineStr">
        <is>
          <t>S</t>
        </is>
      </c>
      <c r="M133" s="11" t="inlineStr">
        <is>
          <t>No</t>
        </is>
      </c>
      <c r="N133" s="11" t="inlineStr">
        <is>
          <t>nest-app: Booking &amp; Payments (Square)</t>
        </is>
      </c>
      <c r="O133" s="11" t="inlineStr">
        <is>
          <t>apps/nest-app/src/modules/application/booking/dto/check-availability.dto.ts</t>
        </is>
      </c>
      <c r="P133" s="11" t="inlineStr">
        <is>
          <t>29</t>
        </is>
      </c>
      <c r="Q133" s="9" t="inlineStr">
        <is>
          <t>apps/nest-app/src/modules/application/booking/dto/confirm-booking.dto.ts:83
apps/nest-app/src/modules/application/booking/dto/confirm-booking.dto.ts:124
apps/nest-app/src/modules/application/booking/dto/lock-time-slot.dto.ts:28</t>
        </is>
      </c>
      <c r="R133" s="11" t="n">
        <v>4</v>
      </c>
      <c r="S133" s="9" t="inlineStr">
        <is>
          <t>Amplified calls to Square (rate limits), oversized stored text, potential email/HTML content abuse.</t>
        </is>
      </c>
      <c r="T133" s="9" t="inlineStr">
        <is>
          <t>Add @ArrayMaxSize(10), @MaxLength on strings, @IsPhoneNumber, limit availability window (e.g. &lt;= 31 days).</t>
        </is>
      </c>
      <c r="U133" s="9" t="inlineStr">
        <is>
          <t>POST /appointments/cart/summary with 5,000 ids.</t>
        </is>
      </c>
      <c r="V133" s="9" t="inlineStr">
        <is>
          <t>CWE-20, CWE-770</t>
        </is>
      </c>
      <c r="W133" s="11" t="n"/>
      <c r="X133" s="11" t="inlineStr">
        <is>
          <t>Open</t>
        </is>
      </c>
    </row>
    <row r="134">
      <c r="A134" s="11" t="inlineStr">
        <is>
          <t>BrightSideCarwash-website-frontend</t>
        </is>
      </c>
      <c r="B134" s="11" t="inlineStr">
        <is>
          <t>BUG-004</t>
        </is>
      </c>
      <c r="C134" s="11" t="inlineStr">
        <is>
          <t>Bug / Correctness</t>
        </is>
      </c>
      <c r="D134" s="11" t="inlineStr">
        <is>
          <t>Resource Leak / Effect Cleanup</t>
        </is>
      </c>
      <c r="E134" s="11" t="inlineStr">
        <is>
          <t>Defect</t>
        </is>
      </c>
      <c r="F134" s="9" t="inlineStr">
        <is>
          <t>Square card instance cleanup only registered when the script is injected</t>
        </is>
      </c>
      <c r="G134" s="9" t="inlineStr">
        <is>
          <t>In the effect, the cleanup function is returned only on the code path that injects the Square script. The early-return paths (window.Square already loaded, or an existing script tag) return without cleanup, so on re-mount or step change the previous card instance is never destroyed and initializedRef is not reset. Behavior depends on navigation order and can leave stale card iframes.</t>
        </is>
      </c>
      <c r="H134" s="12" t="inlineStr">
        <is>
          <t>if (window.Square) { initSquare(); return; }
...
return () =&gt; { initializedRef.current = false; cardInstanceRef.current.destroy(); ... }</t>
        </is>
      </c>
      <c r="I134" s="11" t="inlineStr">
        <is>
          <t>Low</t>
        </is>
      </c>
      <c r="J134" s="11" t="inlineStr">
        <is>
          <t>Low</t>
        </is>
      </c>
      <c r="K134" s="11" t="inlineStr">
        <is>
          <t>Medium</t>
        </is>
      </c>
      <c r="L134" s="11" t="inlineStr">
        <is>
          <t>S</t>
        </is>
      </c>
      <c r="M134" s="11" t="inlineStr">
        <is>
          <t>No</t>
        </is>
      </c>
      <c r="N134" s="11" t="inlineStr">
        <is>
          <t>Booking &amp; Checkout</t>
        </is>
      </c>
      <c r="O134" s="11" t="inlineStr">
        <is>
          <t>src/components/pages/booking/SquarePaymentForm.tsx</t>
        </is>
      </c>
      <c r="P134" s="11" t="inlineStr">
        <is>
          <t>142-192</t>
        </is>
      </c>
      <c r="Q134" s="9" t="n"/>
      <c r="R134" s="11" t="n">
        <v>1</v>
      </c>
      <c r="S134" s="9" t="inlineStr">
        <is>
          <t>Possible duplicate/orphaned payment iframes and intermittent 'card not ready' states when moving back and forth between checkout steps.</t>
        </is>
      </c>
      <c r="T134" s="9" t="inlineStr">
        <is>
          <t>Return one cleanup function from the effect regardless of branch; move script loading to a small hook or use @square/web-sdk's loadSquare (already a dependency but unused).</t>
        </is>
      </c>
      <c r="U134" s="9" t="inlineStr">
        <is>
          <t>Go cart -&gt; checkout -&gt; back -&gt; checkout repeatedly and inspect the DOM for multiple Square iframes; check console for attach errors.</t>
        </is>
      </c>
      <c r="V134" s="9" t="inlineStr">
        <is>
          <t>React docs: effect cleanup</t>
        </is>
      </c>
      <c r="W134" s="11" t="n"/>
      <c r="X134" s="11" t="inlineStr">
        <is>
          <t>Open</t>
        </is>
      </c>
    </row>
    <row r="135">
      <c r="A135" s="11" t="inlineStr">
        <is>
          <t>BrightSideCarwash-website-frontend</t>
        </is>
      </c>
      <c r="B135" s="11" t="inlineStr">
        <is>
          <t>CQ-001</t>
        </is>
      </c>
      <c r="C135" s="11" t="inlineStr">
        <is>
          <t>Code Quality</t>
        </is>
      </c>
      <c r="D135" s="11" t="inlineStr">
        <is>
          <t>Type-safety Hole / Misleading API</t>
        </is>
      </c>
      <c r="E135" s="11" t="inlineStr">
        <is>
          <t>Tech Debt</t>
        </is>
      </c>
      <c r="F135" s="9" t="inlineStr">
        <is>
          <t>Validation hook returns hardcoded isFormValid:true and errors:{}; broad `any` types</t>
        </is>
      </c>
      <c r="G135" s="9" t="inlineStr">
        <is>
          <t>useCheckoutValidation returns constant isFormValid/errors values that no caller can trust (CheckoutStep passes isFormValid={true} literally), while catch blocks use `error: any`, and lock() returns Promise&lt;any&gt;. Empty `catch {}` in BookingContext also hides corrupted localStorage.</t>
        </is>
      </c>
      <c r="H135" s="12" t="inlineStr">
        <is>
          <t>return { isFormValid: true, errors: {}, validate, hasErrors: ... };</t>
        </is>
      </c>
      <c r="I135" s="11" t="inlineStr">
        <is>
          <t>Low</t>
        </is>
      </c>
      <c r="J135" s="11" t="inlineStr">
        <is>
          <t>Low</t>
        </is>
      </c>
      <c r="K135" s="11" t="inlineStr">
        <is>
          <t>High</t>
        </is>
      </c>
      <c r="L135" s="11" t="inlineStr">
        <is>
          <t>S</t>
        </is>
      </c>
      <c r="M135" s="11" t="inlineStr">
        <is>
          <t>No</t>
        </is>
      </c>
      <c r="N135" s="11" t="inlineStr">
        <is>
          <t>Booking &amp; Checkout</t>
        </is>
      </c>
      <c r="O135" s="11" t="inlineStr">
        <is>
          <t>src/hooks/useCheckoutValidation.ts</t>
        </is>
      </c>
      <c r="P135" s="11" t="inlineStr">
        <is>
          <t>50-55</t>
        </is>
      </c>
      <c r="Q135" s="9" t="inlineStr">
        <is>
          <t>src/components/pages/booking/CheckoutStep.tsx:211; src/hooks/useCheckout.ts:30; useQuote.ts:22; useBookingLock.ts:24; useCheckoutLock.ts:9; BookingContext.tsx:56,82</t>
        </is>
      </c>
      <c r="R135" s="11" t="n">
        <v>7</v>
      </c>
      <c r="S135" s="9" t="inlineStr">
        <is>
          <t>Misleading APIs invite bugs and defeat the strict-mode TypeScript configuration.</t>
        </is>
      </c>
      <c r="T135" s="9" t="inlineStr">
        <is>
          <t>Remove the fake fields, type errors as AxiosError/unknown with a narrowing helper and type the lock() result.</t>
        </is>
      </c>
      <c r="U135" s="9" t="inlineStr">
        <is>
          <t>grep -rn ": any" src</t>
        </is>
      </c>
      <c r="V135" s="9" t="n"/>
      <c r="W135" s="11" t="n"/>
      <c r="X135" s="11" t="inlineStr">
        <is>
          <t>Open</t>
        </is>
      </c>
    </row>
    <row r="136">
      <c r="A136" s="11" t="inlineStr">
        <is>
          <t>BrightSideCarwash-website-frontend</t>
        </is>
      </c>
      <c r="B136" s="11" t="inlineStr">
        <is>
          <t>DEP-002</t>
        </is>
      </c>
      <c r="C136" s="11" t="inlineStr">
        <is>
          <t>Dependency Management</t>
        </is>
      </c>
      <c r="D136" s="11" t="inlineStr">
        <is>
          <t>Conflicting Lockfiles</t>
        </is>
      </c>
      <c r="E136" s="11" t="inlineStr">
        <is>
          <t>Tech Debt</t>
        </is>
      </c>
      <c r="F136" s="9" t="inlineStr">
        <is>
          <t>Both package-lock.json and pnpm-lock.yaml are committed; pnpm workspace file is a placeholder</t>
        </is>
      </c>
      <c r="G136" s="9" t="inlineStr">
        <is>
          <t>The repo tracks two lockfiles for two package managers. Dockerfile uses npm; pnpm-workspace.yaml contains the unresolved placeholder value 'unrs-resolver: set this to true or false'. The two can resolve different transitive versions, so what is audited/tested may not be what is deployed.</t>
        </is>
      </c>
      <c r="H136" s="12" t="inlineStr">
        <is>
          <t>allowBuilds:
  unrs-resolver: set this to true or false</t>
        </is>
      </c>
      <c r="I136" s="11" t="inlineStr">
        <is>
          <t>Low</t>
        </is>
      </c>
      <c r="J136" s="11" t="inlineStr">
        <is>
          <t>Low</t>
        </is>
      </c>
      <c r="K136" s="11" t="inlineStr">
        <is>
          <t>High</t>
        </is>
      </c>
      <c r="L136" s="11" t="inlineStr">
        <is>
          <t>S</t>
        </is>
      </c>
      <c r="M136" s="11" t="inlineStr">
        <is>
          <t>No</t>
        </is>
      </c>
      <c r="N136" s="11" t="inlineStr">
        <is>
          <t>Build, Config &amp; Deployment</t>
        </is>
      </c>
      <c r="O136" s="11" t="inlineStr">
        <is>
          <t>pnpm-workspace.yaml</t>
        </is>
      </c>
      <c r="P136" s="11" t="inlineStr">
        <is>
          <t>1-2</t>
        </is>
      </c>
      <c r="Q136" s="9" t="inlineStr">
        <is>
          <t>package-lock.json; pnpm-lock.yaml</t>
        </is>
      </c>
      <c r="R136" s="11" t="n">
        <v>3</v>
      </c>
      <c r="S136" s="9" t="inlineStr">
        <is>
          <t>Non-deterministic dependency trees and confusing tooling; pnpm may fail or prompt on the placeholder.</t>
        </is>
      </c>
      <c r="T136" s="9" t="inlineStr">
        <is>
          <t>Choose a single package manager (npm, matching the Dockerfile), delete the other lockfile and pnpm-workspace.yaml, and document it in the README.</t>
        </is>
      </c>
      <c r="U136" s="9" t="inlineStr">
        <is>
          <t>Compare npm ls and pnpm ls for the same package versions; run pnpm install and observe the warning.</t>
        </is>
      </c>
      <c r="V136" s="9" t="inlineStr">
        <is>
          <t>npm/pnpm docs</t>
        </is>
      </c>
      <c r="W136" s="11" t="n"/>
      <c r="X136" s="11" t="inlineStr">
        <is>
          <t>Open</t>
        </is>
      </c>
    </row>
    <row r="137">
      <c r="A137" s="11" t="inlineStr">
        <is>
          <t>BrightSideCarwash-website-frontend</t>
        </is>
      </c>
      <c r="B137" s="11" t="inlineStr">
        <is>
          <t>DEP-003</t>
        </is>
      </c>
      <c r="C137" s="11" t="inlineStr">
        <is>
          <t>Dependency Management</t>
        </is>
      </c>
      <c r="D137" s="11" t="inlineStr">
        <is>
          <t>Unused / Mismatched Packages</t>
        </is>
      </c>
      <c r="E137" s="11" t="inlineStr">
        <is>
          <t>Tech Debt</t>
        </is>
      </c>
      <c r="F137" s="9" t="inlineStr">
        <is>
          <t>Unused 'lucide' package and stale/mismatched type packages</t>
        </is>
      </c>
      <c r="G137" s="9" t="inlineStr">
        <is>
          <t>package.json lists both lucide and lucide-react; only lucide-react is imported (no import from 'lucide' in src). @types/uuid ^10 is declared alongside uuid ^14 (which ships its own types) and @types/node ^20 while the Dockerfile targets Node 24. @square/web-sdk is a dependency but the code injects the script tag manually instead of using it.</t>
        </is>
      </c>
      <c r="H137" s="12" t="inlineStr">
        <is>
          <t>"lucide": "^1.27.0",
"lucide-react": "^1.23.0",
"@types/uuid": "^10.0.0"</t>
        </is>
      </c>
      <c r="I137" s="11" t="inlineStr">
        <is>
          <t>Low</t>
        </is>
      </c>
      <c r="J137" s="11" t="inlineStr">
        <is>
          <t>Low</t>
        </is>
      </c>
      <c r="K137" s="11" t="inlineStr">
        <is>
          <t>High</t>
        </is>
      </c>
      <c r="L137" s="11" t="inlineStr">
        <is>
          <t>S</t>
        </is>
      </c>
      <c r="M137" s="11" t="inlineStr">
        <is>
          <t>No</t>
        </is>
      </c>
      <c r="N137" s="11" t="inlineStr">
        <is>
          <t>Build, Config &amp; Deployment</t>
        </is>
      </c>
      <c r="O137" s="11" t="inlineStr">
        <is>
          <t>package.json</t>
        </is>
      </c>
      <c r="P137" s="11" t="inlineStr">
        <is>
          <t>17</t>
        </is>
      </c>
      <c r="Q137" s="9" t="inlineStr">
        <is>
          <t>package.json:12,29,32</t>
        </is>
      </c>
      <c r="R137" s="11" t="n">
        <v>4</v>
      </c>
      <c r="S137" s="9" t="inlineStr">
        <is>
          <t>Larger install/audit surface and type drift.</t>
        </is>
      </c>
      <c r="T137" s="9" t="inlineStr">
        <is>
          <t>Remove lucide and @types/uuid; align @types/node with the runtime; use loadSquare from @square/web-sdk or remove it.</t>
        </is>
      </c>
      <c r="U137" s="9" t="inlineStr">
        <is>
          <t>grep -rn "from 'lucide'" src returns nothing; run depcheck.</t>
        </is>
      </c>
      <c r="V137" s="9" t="n"/>
      <c r="W137" s="11" t="n"/>
      <c r="X137" s="11" t="inlineStr">
        <is>
          <t>Open</t>
        </is>
      </c>
    </row>
    <row r="138">
      <c r="A138" s="11" t="inlineStr">
        <is>
          <t>BrightSideCarwash-website-frontend</t>
        </is>
      </c>
      <c r="B138" s="11" t="inlineStr">
        <is>
          <t>FE-002</t>
        </is>
      </c>
      <c r="C138" s="11" t="inlineStr">
        <is>
          <t>Frontend / UX / Accessibility</t>
        </is>
      </c>
      <c r="D138" s="11" t="inlineStr">
        <is>
          <t>Accessibility</t>
        </is>
      </c>
      <c r="E138" s="11" t="inlineStr">
        <is>
          <t>Improvement</t>
        </is>
      </c>
      <c r="F138" s="9" t="inlineStr">
        <is>
          <t>Accessibility gaps: chat not announced, iframes untitled, images with empty alt</t>
        </is>
      </c>
      <c r="G138" s="9" t="inlineStr">
        <is>
          <t>The chat message list has no aria-live region or dialog role for the widget (only the modal image viewer has role=dialog), three embed iframes have no title, the calendar/time-slot controls rely on visual state, and the WashWithAPurpose hero image uses alt="". Only about 31 aria/label usages exist across 11k lines.</t>
        </is>
      </c>
      <c r="H138" s="12" t="inlineStr">
        <is>
          <t>&lt;div ref={messagesContainerRef} className="flex-1 min-h-0 space-y-6 overflow-y-auto ..."&gt;  // no role/aria-live</t>
        </is>
      </c>
      <c r="I138" s="11" t="inlineStr">
        <is>
          <t>Low</t>
        </is>
      </c>
      <c r="J138" s="11" t="inlineStr">
        <is>
          <t>Low</t>
        </is>
      </c>
      <c r="K138" s="11" t="inlineStr">
        <is>
          <t>Medium</t>
        </is>
      </c>
      <c r="L138" s="11" t="inlineStr">
        <is>
          <t>M</t>
        </is>
      </c>
      <c r="M138" s="11" t="inlineStr">
        <is>
          <t>No</t>
        </is>
      </c>
      <c r="N138" s="11" t="inlineStr">
        <is>
          <t>AI Chatbot</t>
        </is>
      </c>
      <c r="O138" s="11" t="inlineStr">
        <is>
          <t>src/components/AiChatBot/ChatBox.tsx</t>
        </is>
      </c>
      <c r="P138" s="11" t="inlineStr">
        <is>
          <t>184-187</t>
        </is>
      </c>
      <c r="Q138" s="9" t="inlineStr">
        <is>
          <t>src/app/(public)/manage-membership/page.tsx:25; src/app/(public)/buy-membership/page.tsx:24; src/components/pages/home/locations/LocationCard.tsx:37; src/components/pages/WashWithAPurpose/PrepaidMembership.tsx:15</t>
        </is>
      </c>
      <c r="R138" s="11" t="n">
        <v>5</v>
      </c>
      <c r="S138" s="9" t="inlineStr">
        <is>
          <t>Screen-reader users cannot follow chat replies or identify embedded forms; ADA exposure for a public business site.</t>
        </is>
      </c>
      <c r="T138" s="9" t="inlineStr">
        <is>
          <t>Add role=log/aria-live=polite to messages, title attributes to iframes, meaningful alt text, and run axe/Lighthouse a11y audits.</t>
        </is>
      </c>
      <c r="U138" s="9" t="inlineStr">
        <is>
          <t>Use NVDA/VoiceOver on the chat; run axe DevTools on /buy-membership.</t>
        </is>
      </c>
      <c r="V138" s="9" t="inlineStr">
        <is>
          <t>WCAG 2.1 SC 1.1.1, 4.1.2, 4.1.3</t>
        </is>
      </c>
      <c r="W138" s="11" t="n"/>
      <c r="X138" s="11" t="inlineStr">
        <is>
          <t>Open</t>
        </is>
      </c>
    </row>
    <row r="139">
      <c r="A139" s="11" t="inlineStr">
        <is>
          <t>BrightSideCarwash-website-frontend</t>
        </is>
      </c>
      <c r="B139" s="11" t="inlineStr">
        <is>
          <t>MAINT-001</t>
        </is>
      </c>
      <c r="C139" s="11" t="inlineStr">
        <is>
          <t>Maintainability &amp; Tech Debt</t>
        </is>
      </c>
      <c r="D139" s="11" t="inlineStr">
        <is>
          <t>Duplicated Logic</t>
        </is>
      </c>
      <c r="E139" s="11" t="inlineStr">
        <is>
          <t>Tech Debt</t>
        </is>
      </c>
      <c r="F139" s="9" t="inlineStr">
        <is>
          <t>Lock-release request duplicated three times, bypassing the service layer</t>
        </is>
      </c>
      <c r="G139" s="9" t="inlineStr">
        <is>
          <t>The unmount/beforeunload release is implemented as raw fetch with keepalive in useCheckoutLock and in BookingPageWrapper, in addition to releaseLock() in booking.api.ts. useCheckoutLock is also imported into BookingPageWrapper but unused there. Divergent copies (different guard conditions) are easy to drift.</t>
        </is>
      </c>
      <c r="H139" s="12" t="inlineStr">
        <is>
          <t>fetch(`${process.env.NEXT_PUBLIC_API_BASE_URL}/appointments/lock/release`, { method: 'POST', ..., keepalive: true })</t>
        </is>
      </c>
      <c r="I139" s="11" t="inlineStr">
        <is>
          <t>Low</t>
        </is>
      </c>
      <c r="J139" s="11" t="inlineStr">
        <is>
          <t>Low</t>
        </is>
      </c>
      <c r="K139" s="11" t="inlineStr">
        <is>
          <t>High</t>
        </is>
      </c>
      <c r="L139" s="11" t="inlineStr">
        <is>
          <t>S</t>
        </is>
      </c>
      <c r="M139" s="11" t="inlineStr">
        <is>
          <t>No</t>
        </is>
      </c>
      <c r="N139" s="11" t="inlineStr">
        <is>
          <t>Booking &amp; Checkout</t>
        </is>
      </c>
      <c r="O139" s="11" t="inlineStr">
        <is>
          <t>src/hooks/useCheckoutLock.ts</t>
        </is>
      </c>
      <c r="P139" s="11" t="inlineStr">
        <is>
          <t>25-33</t>
        </is>
      </c>
      <c r="Q139" s="9" t="inlineStr">
        <is>
          <t>src/components/pages/booking/BookingPageWrapper.tsx:65-77, 13; src/services/booking.api.ts:47</t>
        </is>
      </c>
      <c r="R139" s="11" t="n">
        <v>3</v>
      </c>
      <c r="S139" s="9" t="inlineStr">
        <is>
          <t>Bug fixes to lock release must be applied in three places.</t>
        </is>
      </c>
      <c r="T139" s="9" t="inlineStr">
        <is>
          <t>Add releaseLockBeacon() in booking.api.ts and reuse it; remove the unused import.</t>
        </is>
      </c>
      <c r="U139" s="9" t="inlineStr">
        <is>
          <t>grep -rn "lock/release" src</t>
        </is>
      </c>
      <c r="V139" s="9" t="n"/>
      <c r="W139" s="11" t="inlineStr">
        <is>
          <t>ARCH-001</t>
        </is>
      </c>
      <c r="X139" s="11" t="inlineStr">
        <is>
          <t>Open</t>
        </is>
      </c>
    </row>
    <row r="140">
      <c r="A140" s="11" t="inlineStr">
        <is>
          <t>BrightSideCarwash-website-frontend</t>
        </is>
      </c>
      <c r="B140" s="11" t="inlineStr">
        <is>
          <t>MAINT-002</t>
        </is>
      </c>
      <c r="C140" s="11" t="inlineStr">
        <is>
          <t>Maintainability &amp; Tech Debt</t>
        </is>
      </c>
      <c r="D140" s="11" t="inlineStr">
        <is>
          <t>Dead Code</t>
        </is>
      </c>
      <c r="E140" s="11" t="inlineStr">
        <is>
          <t>Tech Debt</t>
        </is>
      </c>
      <c r="F140" s="9" t="inlineStr">
        <is>
          <t>Dead and duplicate code: stub card nonce, commented component, unused CMS hero files</t>
        </is>
      </c>
      <c r="G140" s="9" t="inlineStr">
        <is>
          <t>src/lib/card-nonce.ts returns the hardcoded test nonce 'cnon:card-nonce-ok' and is imported nowhere (a future accidental import would bypass real tokenization); CheckoutButtons.tsx starts with a 44-line commented-out copy of itself; website-cms/hero/HeroSectionWrapper.tsx and HeroStats.tsx are not imported (a second copy lives in home/hero); /privacy is implemented both as a page and a next.config redirect.</t>
        </is>
      </c>
      <c r="H140" s="12" t="inlineStr">
        <is>
          <t>export function getCardNonce(): string { return 'cnon:card-nonce-ok'; }</t>
        </is>
      </c>
      <c r="I140" s="11" t="inlineStr">
        <is>
          <t>Low</t>
        </is>
      </c>
      <c r="J140" s="11" t="inlineStr">
        <is>
          <t>Low</t>
        </is>
      </c>
      <c r="K140" s="11" t="inlineStr">
        <is>
          <t>High</t>
        </is>
      </c>
      <c r="L140" s="11" t="inlineStr">
        <is>
          <t>S</t>
        </is>
      </c>
      <c r="M140" s="11" t="inlineStr">
        <is>
          <t>No</t>
        </is>
      </c>
      <c r="N140" s="11" t="inlineStr">
        <is>
          <t>Booking &amp; Checkout</t>
        </is>
      </c>
      <c r="O140" s="11" t="inlineStr">
        <is>
          <t>src/lib/card-nonce.ts</t>
        </is>
      </c>
      <c r="P140" s="11" t="inlineStr">
        <is>
          <t>1-3</t>
        </is>
      </c>
      <c r="Q140" s="9" t="inlineStr">
        <is>
          <t>src/components/pages/booking/CheckoutButtons.tsx:1-44; src/components/pages/website-cms/hero/HeroSectionWrapper.tsx; src/components/pages/website-cms/hero/HeroStats.tsx; src/app/(public)/privacy/page.tsx; next.config.ts:33-37</t>
        </is>
      </c>
      <c r="R140" s="11" t="n">
        <v>5</v>
      </c>
      <c r="S140" s="9" t="inlineStr">
        <is>
          <t>Confusion and maintenance overhead; the stub nonce is a latent hazard.</t>
        </is>
      </c>
      <c r="T140" s="9" t="inlineStr">
        <is>
          <t>Delete the unused files and commented code; keep one /privacy redirect mechanism.</t>
        </is>
      </c>
      <c r="U140" s="9" t="inlineStr">
        <is>
          <t>grep -rn "card-nonce\|website-cms/hero/HeroSectionWrapper" src shows no importers.</t>
        </is>
      </c>
      <c r="V140" s="9" t="n"/>
      <c r="W140" s="11" t="n"/>
      <c r="X140" s="11" t="inlineStr">
        <is>
          <t>Open</t>
        </is>
      </c>
    </row>
    <row r="141">
      <c r="A141" s="11" t="inlineStr">
        <is>
          <t>BrightSideCarwash-website-frontend</t>
        </is>
      </c>
      <c r="B141" s="11" t="inlineStr">
        <is>
          <t>MAINT-003</t>
        </is>
      </c>
      <c r="C141" s="11" t="inlineStr">
        <is>
          <t>Maintainability &amp; Tech Debt</t>
        </is>
      </c>
      <c r="D141" s="11" t="inlineStr">
        <is>
          <t>Stale / Misleading Documentation</t>
        </is>
      </c>
      <c r="E141" s="11" t="inlineStr">
        <is>
          <t>Tech Debt</t>
        </is>
      </c>
      <c r="F141" s="9" t="inlineStr">
        <is>
          <t>AGENTS.md/README describe Redux, RTK Query and httpOnly-cookie auth that do not exist</t>
        </is>
      </c>
      <c r="G141" s="9" t="inlineStr">
        <is>
          <t>The project README claims 'Next.js 15+ website frontend with complete authentication system... Redux Toolkit, RTK Query, Axios interceptors, silent token refresh' and httpOnly cookie tokens. package.json has no redux, no interceptors exist, and the site has no login. Setup, environment variables and deployment are undocumented.</t>
        </is>
      </c>
      <c r="H141" s="12" t="inlineStr">
        <is>
          <t>Next.js 15+ website frontend with complete authentication system. Built with Redux Toolkit, RTK Query...</t>
        </is>
      </c>
      <c r="I141" s="11" t="inlineStr">
        <is>
          <t>Low</t>
        </is>
      </c>
      <c r="J141" s="11" t="inlineStr">
        <is>
          <t>Low</t>
        </is>
      </c>
      <c r="K141" s="11" t="inlineStr">
        <is>
          <t>High</t>
        </is>
      </c>
      <c r="L141" s="11" t="inlineStr">
        <is>
          <t>S</t>
        </is>
      </c>
      <c r="M141" s="11" t="inlineStr">
        <is>
          <t>No</t>
        </is>
      </c>
      <c r="N141" s="11" t="inlineStr">
        <is>
          <t>Build, Config &amp; Deployment</t>
        </is>
      </c>
      <c r="O141" s="11" t="inlineStr">
        <is>
          <t>README.md</t>
        </is>
      </c>
      <c r="P141" s="11" t="inlineStr">
        <is>
          <t>1-6</t>
        </is>
      </c>
      <c r="Q141" s="9" t="n"/>
      <c r="R141" s="11" t="n">
        <v>1</v>
      </c>
      <c r="S141" s="9" t="inlineStr">
        <is>
          <t>New developers and security reviewers may assume auth controls that do not exist.</t>
        </is>
      </c>
      <c r="T141" s="9" t="inlineStr">
        <is>
          <t>Rewrite the README with the real stack (Next 16, React 19, axios, Square), env vars, run/deploy steps and the booking flow.</t>
        </is>
      </c>
      <c r="U141" s="9" t="inlineStr">
        <is>
          <t>Compare README claims with package.json dependencies.</t>
        </is>
      </c>
      <c r="V141" s="9" t="n"/>
      <c r="W141" s="11" t="n"/>
      <c r="X141" s="11" t="inlineStr">
        <is>
          <t>Open</t>
        </is>
      </c>
    </row>
    <row r="142">
      <c r="A142" s="11" t="inlineStr">
        <is>
          <t>BrightSideCarwash-website-frontend</t>
        </is>
      </c>
      <c r="B142" s="11" t="inlineStr">
        <is>
          <t>OBS-001</t>
        </is>
      </c>
      <c r="C142" s="11" t="inlineStr">
        <is>
          <t>Logging &amp; Monitoring</t>
        </is>
      </c>
      <c r="D142" s="11" t="inlineStr">
        <is>
          <t>Production Logging / No Monitoring</t>
        </is>
      </c>
      <c r="E142" s="11" t="inlineStr">
        <is>
          <t>Improvement</t>
        </is>
      </c>
      <c r="F142" s="9" t="inlineStr">
        <is>
          <t>Debug console logging in production and no client error monitoring</t>
        </is>
      </c>
      <c r="G142" s="9" t="inlineStr">
        <is>
          <t>ImageModal logs 'Image loaded successfully' plus image URLs on every load in production; GalleryImageCard and HowTheProgramWorks log errors to the console. No Sentry/monitoring SDK, no error reporting for failed checkouts or chat errors, and no web-vitals reporting.</t>
        </is>
      </c>
      <c r="H142" s="12" t="inlineStr">
        <is>
          <t>onLoad={() =&gt; { console.log("Image loaded successfully:", image.src); }}</t>
        </is>
      </c>
      <c r="I142" s="11" t="inlineStr">
        <is>
          <t>Low</t>
        </is>
      </c>
      <c r="J142" s="11" t="inlineStr">
        <is>
          <t>Low</t>
        </is>
      </c>
      <c r="K142" s="11" t="inlineStr">
        <is>
          <t>High</t>
        </is>
      </c>
      <c r="L142" s="11" t="inlineStr">
        <is>
          <t>S</t>
        </is>
      </c>
      <c r="M142" s="11" t="inlineStr">
        <is>
          <t>No</t>
        </is>
      </c>
      <c r="N142" s="11" t="inlineStr">
        <is>
          <t>Layout, UI &amp; Theme</t>
        </is>
      </c>
      <c r="O142" s="11" t="inlineStr">
        <is>
          <t>src/components/ui/ImageModal.tsx</t>
        </is>
      </c>
      <c r="P142" s="11" t="inlineStr">
        <is>
          <t>70-76</t>
        </is>
      </c>
      <c r="Q142" s="9" t="inlineStr">
        <is>
          <t>src/components/pages/home/gallery/GalleryImageCard.tsx:30; src/components/pages/WashWithAPurpose/HowTheProgramWorks.tsx:22</t>
        </is>
      </c>
      <c r="R142" s="11" t="n">
        <v>3</v>
      </c>
      <c r="S142" s="9" t="inlineStr">
        <is>
          <t>Console noise and no visibility into production failures (payment errors, lock failures) - problems are only found via customer complaints.</t>
        </is>
      </c>
      <c r="T142" s="9" t="inlineStr">
        <is>
          <t>Remove debug logs; add Sentry (or similar) with PII scrubbing and report checkout/lock failures.</t>
        </is>
      </c>
      <c r="U142" s="9" t="inlineStr">
        <is>
          <t>Open the gallery modal with DevTools console open.</t>
        </is>
      </c>
      <c r="V142" s="9" t="inlineStr">
        <is>
          <t>OWASP A09:2021</t>
        </is>
      </c>
      <c r="W142" s="11" t="n"/>
      <c r="X142" s="11" t="inlineStr">
        <is>
          <t>Open</t>
        </is>
      </c>
    </row>
    <row r="143">
      <c r="A143" s="11" t="inlineStr">
        <is>
          <t>BrightSideCarwash-website-frontend</t>
        </is>
      </c>
      <c r="B143" s="11" t="inlineStr">
        <is>
          <t>PRIV-002</t>
        </is>
      </c>
      <c r="C143" s="11" t="inlineStr">
        <is>
          <t>Privacy &amp; Compliance</t>
        </is>
      </c>
      <c r="D143" s="11" t="inlineStr">
        <is>
          <t>Third-party Data Sharing / Consent</t>
        </is>
      </c>
      <c r="E143" s="11" t="inlineStr">
        <is>
          <t>Risk</t>
        </is>
      </c>
      <c r="F143" s="9" t="inlineStr">
        <is>
          <t>Chatbot collects name and email for a third-party AI service without notice or consent</t>
        </is>
      </c>
      <c r="G143" s="9" t="inlineStr">
        <is>
          <t>The chat widget requires name and email before use and posts them to NEXT_PUBLIC_API_BASE_AI_URL (/sessions/) plus every message content to /chat/message/. There is no consent line, link to the privacy policy or data-retention statement in the widget, and the AI backend is a separate host from the main API (ownership/retention not visible here).</t>
        </is>
      </c>
      <c r="H143" s="12" t="inlineStr">
        <is>
          <t>const payload = { email: params?.email || defaultEmail, name: params?.name || "Guest" };
await apiClient.post("/sessions/", payload);</t>
        </is>
      </c>
      <c r="I143" s="11" t="inlineStr">
        <is>
          <t>Low</t>
        </is>
      </c>
      <c r="J143" s="11" t="inlineStr">
        <is>
          <t>Low</t>
        </is>
      </c>
      <c r="K143" s="11" t="inlineStr">
        <is>
          <t>Medium</t>
        </is>
      </c>
      <c r="L143" s="11" t="inlineStr">
        <is>
          <t>S</t>
        </is>
      </c>
      <c r="M143" s="11" t="inlineStr">
        <is>
          <t>No</t>
        </is>
      </c>
      <c r="N143" s="11" t="inlineStr">
        <is>
          <t>AI Chatbot</t>
        </is>
      </c>
      <c r="O143" s="11" t="inlineStr">
        <is>
          <t>src/services/ai-chatbot.api.ts</t>
        </is>
      </c>
      <c r="P143" s="11" t="inlineStr">
        <is>
          <t>43-59</t>
        </is>
      </c>
      <c r="Q143" s="9" t="inlineStr">
        <is>
          <t>src/components/AiChatBot/ChatBox.tsx:57-76</t>
        </is>
      </c>
      <c r="R143" s="11" t="n">
        <v>2</v>
      </c>
      <c r="S143" s="9" t="inlineStr">
        <is>
          <t>Regulatory/transparency risk for collecting contact data and free-text conversations; users may type payment or vehicle details.</t>
        </is>
      </c>
      <c r="T143" s="9" t="inlineStr">
        <is>
          <t>Add a short consent/notice with link to /privacy-policy and a warning not to enter card data; confirm retention with the AI service owner and update the privacy policy.</t>
        </is>
      </c>
      <c r="U143" s="9" t="inlineStr">
        <is>
          <t>Open the chat widget: no privacy notice is shown before Start Chat; inspect the POST payload.</t>
        </is>
      </c>
      <c r="V143" s="9" t="inlineStr">
        <is>
          <t>GDPR Art. 13; CCPA notice at collection</t>
        </is>
      </c>
      <c r="W143" s="11" t="n"/>
      <c r="X143" s="11" t="inlineStr">
        <is>
          <t>Open</t>
        </is>
      </c>
    </row>
    <row r="144">
      <c r="A144" s="11" t="inlineStr">
        <is>
          <t>BrightSideCarwash-website-frontend</t>
        </is>
      </c>
      <c r="B144" s="11" t="inlineStr">
        <is>
          <t>SEC-002</t>
        </is>
      </c>
      <c r="C144" s="11" t="inlineStr">
        <is>
          <t>Security</t>
        </is>
      </c>
      <c r="D144" s="11" t="inlineStr">
        <is>
          <t>Third-party Iframes</t>
        </is>
      </c>
      <c r="E144" s="11" t="inlineStr">
        <is>
          <t>Improvement</t>
        </is>
      </c>
      <c r="F144" s="9" t="inlineStr">
        <is>
          <t>Third-party iframes lack sandbox/title; map iframe src comes from API data</t>
        </is>
      </c>
      <c r="G144" s="9" t="inlineStr">
        <is>
          <t>Three pages embed app.flexwash.com portals (membership sign-up and account management) with no sandbox, referrerpolicy or accessible title; the location map iframe uses location.mapEmbedUrl whose source is API-controlled (hardcoded in src/data/locations.ts today, but the ApiLocation type flows through) with no host allow-list.</t>
        </is>
      </c>
      <c r="H144" s="12" t="inlineStr">
        <is>
          <t>&lt;iframe src="https://app.flexwash.com/sign-up-portal?organizationId=264" style={{...}}&gt;&lt;/iframe&gt;</t>
        </is>
      </c>
      <c r="I144" s="11" t="inlineStr">
        <is>
          <t>Low</t>
        </is>
      </c>
      <c r="J144" s="11" t="inlineStr">
        <is>
          <t>Low</t>
        </is>
      </c>
      <c r="K144" s="11" t="inlineStr">
        <is>
          <t>High</t>
        </is>
      </c>
      <c r="L144" s="11" t="inlineStr">
        <is>
          <t>S</t>
        </is>
      </c>
      <c r="M144" s="11" t="inlineStr">
        <is>
          <t>No</t>
        </is>
      </c>
      <c r="N144" s="11" t="inlineStr">
        <is>
          <t>Content Pages &amp; Embeds</t>
        </is>
      </c>
      <c r="O144" s="11" t="inlineStr">
        <is>
          <t>src/app/(public)/manage-membership/page.tsx</t>
        </is>
      </c>
      <c r="P144" s="11" t="inlineStr">
        <is>
          <t>25-28</t>
        </is>
      </c>
      <c r="Q144" s="9" t="inlineStr">
        <is>
          <t>src/app/(public)/buy-membership/page.tsx:24-27; src/components/pages/home/locations/LocationCard.tsx:37-45</t>
        </is>
      </c>
      <c r="R144" s="11" t="n">
        <v>3</v>
      </c>
      <c r="S144" s="9" t="inlineStr">
        <is>
          <t>A compromised or misconfigured third-party page could navigate the top window or read referrer information; no defense against unexpected embed URLs.</t>
        </is>
      </c>
      <c r="T144" s="9" t="inlineStr">
        <is>
          <t>Add sandbox='allow-scripts allow-forms allow-same-origin allow-popups', referrerPolicy, title and loading='lazy'; restrict frame-src in CSP (SEC-001); validate map URLs against https://www.google.com/maps/embed prefix.</t>
        </is>
      </c>
      <c r="U144" s="9" t="inlineStr">
        <is>
          <t>View page source of /buy-membership: iframe has no sandbox or title attribute.</t>
        </is>
      </c>
      <c r="V144" s="9" t="inlineStr">
        <is>
          <t>OWASP A05:2021; CWE-1021</t>
        </is>
      </c>
      <c r="W144" s="11" t="inlineStr">
        <is>
          <t>SEC-001</t>
        </is>
      </c>
      <c r="X144" s="11" t="inlineStr">
        <is>
          <t>Open</t>
        </is>
      </c>
    </row>
    <row r="145">
      <c r="A145" s="11" t="inlineStr">
        <is>
          <t>BrightSideCarwash-website-frontend</t>
        </is>
      </c>
      <c r="B145" s="11" t="inlineStr">
        <is>
          <t>SEC-003</t>
        </is>
      </c>
      <c r="C145" s="11" t="inlineStr">
        <is>
          <t>Security</t>
        </is>
      </c>
      <c r="D145" s="11" t="inlineStr">
        <is>
          <t>Unsafe External Links</t>
        </is>
      </c>
      <c r="E145" s="11" t="inlineStr">
        <is>
          <t>Improvement</t>
        </is>
      </c>
      <c r="F145" s="9" t="inlineStr">
        <is>
          <t>target="_blank" links from API data without rel="noopener noreferrer"</t>
        </is>
      </c>
      <c r="G145" s="9" t="inlineStr">
        <is>
          <t>ProudToPartnerWith renders item.link (from the wash-with-purpose API) in two anchors with target="_blank" and no rel attribute; the href value is not scheme-checked. Modern browsers imply noopener but referrer is still leaked and the link scheme is trusted blindly.</t>
        </is>
      </c>
      <c r="H145" s="12" t="inlineStr">
        <is>
          <t>&lt;a href={item.link} target="_blank"&gt;</t>
        </is>
      </c>
      <c r="I145" s="11" t="inlineStr">
        <is>
          <t>Low</t>
        </is>
      </c>
      <c r="J145" s="11" t="inlineStr">
        <is>
          <t>Low</t>
        </is>
      </c>
      <c r="K145" s="11" t="inlineStr">
        <is>
          <t>High</t>
        </is>
      </c>
      <c r="L145" s="11" t="inlineStr">
        <is>
          <t>S</t>
        </is>
      </c>
      <c r="M145" s="11" t="inlineStr">
        <is>
          <t>No</t>
        </is>
      </c>
      <c r="N145" s="11" t="inlineStr">
        <is>
          <t>Content Pages &amp; Embeds</t>
        </is>
      </c>
      <c r="O145" s="11" t="inlineStr">
        <is>
          <t>src/components/pages/WashWithAPurpose/ProudToPartnerWith.tsx</t>
        </is>
      </c>
      <c r="P145" s="11" t="inlineStr">
        <is>
          <t>50</t>
        </is>
      </c>
      <c r="Q145" s="9" t="inlineStr">
        <is>
          <t>src/components/pages/WashWithAPurpose/ProudToPartnerWith.tsx:69; src/components/pages/booking/SquarePaymentForm.tsx:274</t>
        </is>
      </c>
      <c r="R145" s="11" t="n">
        <v>3</v>
      </c>
      <c r="S145" s="9" t="inlineStr">
        <is>
          <t>Minor tab-nabbing/referrer leakage; unvalidated CMS-supplied hrefs.</t>
        </is>
      </c>
      <c r="T145" s="9" t="inlineStr">
        <is>
          <t>Add rel="noopener noreferrer" and allow only http(s) URLs via a small safeHref() helper.</t>
        </is>
      </c>
      <c r="U145" s="9" t="inlineStr">
        <is>
          <t>Inspect rendered anchors in /wash-with-a-purpose.</t>
        </is>
      </c>
      <c r="V145" s="9" t="inlineStr">
        <is>
          <t>CWE-1022</t>
        </is>
      </c>
      <c r="W145" s="11" t="n"/>
      <c r="X145" s="11" t="inlineStr">
        <is>
          <t>Open</t>
        </is>
      </c>
    </row>
    <row r="146">
      <c r="A146" s="11" t="inlineStr">
        <is>
          <t>BrightSideCarwash-website-frontend</t>
        </is>
      </c>
      <c r="B146" s="11" t="inlineStr">
        <is>
          <t>VAL-002</t>
        </is>
      </c>
      <c r="C146" s="11" t="inlineStr">
        <is>
          <t>Input Validation</t>
        </is>
      </c>
      <c r="D146" s="11" t="inlineStr">
        <is>
          <t>Weak / Unbounded Input</t>
        </is>
      </c>
      <c r="E146" s="11" t="inlineStr">
        <is>
          <t>Improvement</t>
        </is>
      </c>
      <c r="F146" s="9" t="inlineStr">
        <is>
          <t>Client validation is minimal and fields are unbounded; server is the only guard</t>
        </is>
      </c>
      <c r="G146" s="9" t="inlineStr">
        <is>
          <t>Contact form and chat inputs have no maxLength on names, email or the appointment note (only phone and year are limited), email uses the permissive /^[^\s@]+@[^\s@]+\.[^\s@]+$/, the phone number is forced to a +1 prefix, and chat messages have no length cap before posting. All validation is client-side by nature; server enforcement is not verifiable here.</t>
        </is>
      </c>
      <c r="H146" s="12" t="inlineStr">
        <is>
          <t>customerPhone: `+1${contactInfo.phone.replace(/\D/g, "")}`,
customerNote: contactInfo.note,</t>
        </is>
      </c>
      <c r="I146" s="11" t="inlineStr">
        <is>
          <t>Low</t>
        </is>
      </c>
      <c r="J146" s="11" t="inlineStr">
        <is>
          <t>Low</t>
        </is>
      </c>
      <c r="K146" s="11" t="inlineStr">
        <is>
          <t>Medium</t>
        </is>
      </c>
      <c r="L146" s="11" t="inlineStr">
        <is>
          <t>S</t>
        </is>
      </c>
      <c r="M146" s="11" t="inlineStr">
        <is>
          <t>No</t>
        </is>
      </c>
      <c r="N146" s="11" t="inlineStr">
        <is>
          <t>Booking &amp; Checkout</t>
        </is>
      </c>
      <c r="O146" s="11" t="inlineStr">
        <is>
          <t>src/components/pages/booking/CheckoutStep.tsx</t>
        </is>
      </c>
      <c r="P146" s="11" t="inlineStr">
        <is>
          <t>135-139</t>
        </is>
      </c>
      <c r="Q146" s="9" t="inlineStr">
        <is>
          <t>src/components/pages/booking/ContactInfoForm.tsx:254-258; src/components/AiChatBot/ChatBox.tsx:300-303; src/hooks/useCheckoutValidation.ts:10-45</t>
        </is>
      </c>
      <c r="R146" s="11" t="n">
        <v>4</v>
      </c>
      <c r="S146" s="9" t="inlineStr">
        <is>
          <t>Oversized payloads and malformed contact data reach the API; possible failed payments after tokenization when the server rejects the data.</t>
        </is>
      </c>
      <c r="T146" s="9" t="inlineStr">
        <is>
          <t>Add maxLength (name 100, note 500, message 1000), stricter email/phone checks, and validate before tokenizing the card; mirror limits server-side.</t>
        </is>
      </c>
      <c r="U146" s="9" t="inlineStr">
        <is>
          <t>Paste a 1 MB string into the appointment note and chat input and submit.</t>
        </is>
      </c>
      <c r="V146" s="9" t="inlineStr">
        <is>
          <t>OWASP A03:2021; CWE-20</t>
        </is>
      </c>
      <c r="W146" s="11" t="n"/>
      <c r="X146" s="11" t="inlineStr">
        <is>
          <t>Open</t>
        </is>
      </c>
    </row>
  </sheetData>
  <autoFilter ref="A1:X146"/>
  <conditionalFormatting sqref="I2:I146">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J2:J146">
    <cfRule type="cellIs" priority="5" operator="equal" dxfId="0">
      <formula>"Critical"</formula>
    </cfRule>
    <cfRule type="cellIs" priority="6" operator="equal" dxfId="1">
      <formula>"High"</formula>
    </cfRule>
    <cfRule type="cellIs" priority="7" operator="equal" dxfId="2">
      <formula>"Medium"</formula>
    </cfRule>
    <cfRule type="cellIs" priority="8" operator="equal" dxfId="3">
      <formula>"Low"</formula>
    </cfRule>
  </conditionalFormatting>
  <conditionalFormatting sqref="L2:L146">
    <cfRule type="cellIs" priority="9" operator="equal" dxfId="3">
      <formula>"S"</formula>
    </cfRule>
    <cfRule type="cellIs" priority="10" operator="equal" dxfId="2">
      <formula>"M"</formula>
    </cfRule>
    <cfRule type="cellIs" priority="11" operator="equal" dxfId="1">
      <formula>"L"</formula>
    </cfRule>
    <cfRule type="cellIs" priority="12" operator="equal" dxfId="0">
      <formula>"XL"</formula>
    </cfRule>
    <cfRule type="cellIs" priority="13" operator="equal" dxfId="4">
      <formula>"XXL"</formula>
    </cfRule>
  </conditionalFormatting>
  <conditionalFormatting sqref="M2:M146">
    <cfRule type="cellIs" priority="14" operator="equal" dxfId="3">
      <formula>"Yes"</formula>
    </cfRule>
  </conditionalFormatting>
  <dataValidations count="7">
    <dataValidation sqref="I2:I146" showDropDown="0" showInputMessage="0" showErrorMessage="0" allowBlank="1" type="list">
      <formula1>"Critical,High,Medium,Low"</formula1>
    </dataValidation>
    <dataValidation sqref="J2:J146" showDropDown="0" showInputMessage="0" showErrorMessage="0" allowBlank="1" type="list">
      <formula1>"Critical,High,Medium,Low"</formula1>
    </dataValidation>
    <dataValidation sqref="K2:K146" showDropDown="0" showInputMessage="0" showErrorMessage="0" allowBlank="1" type="list">
      <formula1>"High,Medium,Low"</formula1>
    </dataValidation>
    <dataValidation sqref="L2:L146" showDropDown="0" showInputMessage="0" showErrorMessage="0" allowBlank="1" type="list">
      <formula1>"S,M,L,XL,XXL"</formula1>
    </dataValidation>
    <dataValidation sqref="M2:M146" showDropDown="0" showInputMessage="0" showErrorMessage="0" allowBlank="1" type="list">
      <formula1>"Yes,No"</formula1>
    </dataValidation>
    <dataValidation sqref="E2:E146" showDropDown="0" showInputMessage="0" showErrorMessage="0" allowBlank="1" type="list">
      <formula1>"Vulnerability,Defect,Risk,Tech Debt,Improvement"</formula1>
    </dataValidation>
    <dataValidation sqref="X2:X146" showDropDown="0" showInputMessage="0" showErrorMessage="0" allowBlank="1" type="list">
      <formula1>"Open,In Progress,Fixed,Won't Fix,Accepted Risk,False Positive"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2026-09-30T10:55:46Z</dcterms:created>
  <dcterms:modified xsi:type="dcterms:W3CDTF">2026-09-30T10:55:46Z</dcterms:modified>
</cp:coreProperties>
</file>